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rgio_Rivera\Work\World_Bank\Poverty\P4 Africa Oaxaca Decomposition\4_Outputs\Tables\"/>
    </mc:Choice>
  </mc:AlternateContent>
  <xr:revisionPtr revIDLastSave="0" documentId="13_ncr:1_{DB285822-B93C-4381-95B8-08E23993195E}" xr6:coauthVersionLast="47" xr6:coauthVersionMax="47" xr10:uidLastSave="{00000000-0000-0000-0000-000000000000}"/>
  <bookViews>
    <workbookView xWindow="28680" yWindow="-120" windowWidth="38640" windowHeight="21840" activeTab="4" xr2:uid="{245BB828-C354-4BA5-BDDE-8549BCAE4B56}"/>
  </bookViews>
  <sheets>
    <sheet name="Support exhange" sheetId="6" r:id="rId1"/>
    <sheet name="Summary_all" sheetId="1" r:id="rId2"/>
    <sheet name="GNB_sum" sheetId="7" r:id="rId3"/>
    <sheet name="MRT_sum" sheetId="5" r:id="rId4"/>
    <sheet name="SEN_sum" sheetId="8" r:id="rId5"/>
    <sheet name="GMB_sum" sheetId="2" r:id="rId6"/>
    <sheet name="Sum_by_area" sheetId="3" r:id="rId7"/>
    <sheet name="Sum_by_origin" sheetId="4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6" l="1"/>
  <c r="F35" i="6"/>
  <c r="H11" i="1"/>
  <c r="H24" i="7"/>
  <c r="H23" i="7"/>
  <c r="H22" i="7"/>
  <c r="H21" i="7"/>
  <c r="H20" i="7"/>
  <c r="H19" i="7"/>
  <c r="H18" i="7"/>
  <c r="H17" i="7"/>
  <c r="H16" i="7"/>
  <c r="H15" i="7"/>
  <c r="H14" i="7"/>
  <c r="H13" i="7"/>
  <c r="H25" i="7"/>
  <c r="H26" i="7"/>
  <c r="H29" i="7"/>
  <c r="G29" i="7"/>
  <c r="G26" i="7"/>
  <c r="G25" i="7"/>
  <c r="G34" i="7" s="1"/>
  <c r="G24" i="7"/>
  <c r="G23" i="7"/>
  <c r="G22" i="7"/>
  <c r="G21" i="7"/>
  <c r="G20" i="7"/>
  <c r="G19" i="7"/>
  <c r="G18" i="7"/>
  <c r="G17" i="7"/>
  <c r="G16" i="7"/>
  <c r="G15" i="7"/>
  <c r="G14" i="7"/>
  <c r="G13" i="7"/>
  <c r="H29" i="8"/>
  <c r="G29" i="8"/>
  <c r="F29" i="8"/>
  <c r="E29" i="8"/>
  <c r="H26" i="8"/>
  <c r="G26" i="8"/>
  <c r="G34" i="8" s="1"/>
  <c r="F26" i="8"/>
  <c r="E26" i="8"/>
  <c r="H25" i="8"/>
  <c r="G25" i="8"/>
  <c r="F25" i="8"/>
  <c r="E25" i="8"/>
  <c r="H24" i="8"/>
  <c r="G24" i="8"/>
  <c r="F24" i="8"/>
  <c r="E24" i="8"/>
  <c r="H23" i="8"/>
  <c r="G23" i="8"/>
  <c r="F23" i="8"/>
  <c r="E23" i="8"/>
  <c r="H22" i="8"/>
  <c r="G22" i="8"/>
  <c r="F22" i="8"/>
  <c r="E22" i="8"/>
  <c r="H21" i="8"/>
  <c r="G21" i="8"/>
  <c r="F21" i="8"/>
  <c r="E21" i="8"/>
  <c r="H20" i="8"/>
  <c r="G20" i="8"/>
  <c r="F20" i="8"/>
  <c r="E20" i="8"/>
  <c r="H19" i="8"/>
  <c r="G19" i="8"/>
  <c r="F19" i="8"/>
  <c r="E19" i="8"/>
  <c r="H18" i="8"/>
  <c r="G18" i="8"/>
  <c r="F18" i="8"/>
  <c r="E18" i="8"/>
  <c r="H17" i="8"/>
  <c r="G17" i="8"/>
  <c r="F17" i="8"/>
  <c r="E17" i="8"/>
  <c r="H16" i="8"/>
  <c r="G16" i="8"/>
  <c r="F16" i="8"/>
  <c r="E16" i="8"/>
  <c r="H15" i="8"/>
  <c r="G15" i="8"/>
  <c r="F15" i="8"/>
  <c r="E15" i="8"/>
  <c r="H14" i="8"/>
  <c r="G14" i="8"/>
  <c r="F14" i="8"/>
  <c r="E14" i="8"/>
  <c r="H13" i="8"/>
  <c r="G13" i="8"/>
  <c r="F13" i="8"/>
  <c r="E13" i="8"/>
  <c r="H12" i="8"/>
  <c r="G12" i="8"/>
  <c r="F12" i="8"/>
  <c r="E12" i="8"/>
  <c r="H11" i="8"/>
  <c r="G11" i="8"/>
  <c r="F11" i="8"/>
  <c r="E11" i="8"/>
  <c r="H10" i="8"/>
  <c r="G10" i="8"/>
  <c r="F10" i="8"/>
  <c r="E10" i="8"/>
  <c r="H9" i="8"/>
  <c r="G9" i="8"/>
  <c r="F9" i="8"/>
  <c r="E9" i="8"/>
  <c r="H8" i="8"/>
  <c r="G8" i="8"/>
  <c r="F8" i="8"/>
  <c r="E8" i="8"/>
  <c r="H7" i="8"/>
  <c r="G7" i="8"/>
  <c r="F7" i="8"/>
  <c r="E7" i="8"/>
  <c r="H6" i="8"/>
  <c r="G6" i="8"/>
  <c r="F6" i="8"/>
  <c r="E6" i="8"/>
  <c r="H25" i="1"/>
  <c r="H26" i="1"/>
  <c r="H27" i="1"/>
  <c r="H28" i="1"/>
  <c r="G27" i="1"/>
  <c r="F28" i="1"/>
  <c r="F25" i="1"/>
  <c r="K13" i="7"/>
  <c r="L13" i="7"/>
  <c r="K14" i="7"/>
  <c r="L14" i="7"/>
  <c r="E29" i="7"/>
  <c r="F29" i="7"/>
  <c r="E26" i="7"/>
  <c r="F26" i="7"/>
  <c r="E25" i="7"/>
  <c r="F25" i="7"/>
  <c r="E14" i="7"/>
  <c r="F14" i="7"/>
  <c r="E15" i="7"/>
  <c r="F15" i="7"/>
  <c r="E16" i="7"/>
  <c r="F16" i="7"/>
  <c r="E17" i="7"/>
  <c r="F17" i="7"/>
  <c r="E18" i="7"/>
  <c r="F18" i="7"/>
  <c r="E19" i="7"/>
  <c r="F19" i="7"/>
  <c r="E20" i="7"/>
  <c r="F20" i="7"/>
  <c r="E21" i="7"/>
  <c r="F21" i="7"/>
  <c r="E22" i="7"/>
  <c r="F22" i="7"/>
  <c r="E23" i="7"/>
  <c r="F23" i="7"/>
  <c r="E24" i="7"/>
  <c r="F24" i="7"/>
  <c r="E13" i="7"/>
  <c r="F13" i="7"/>
  <c r="F12" i="7"/>
  <c r="E12" i="7"/>
  <c r="F11" i="7"/>
  <c r="E11" i="7"/>
  <c r="F10" i="7"/>
  <c r="E10" i="7"/>
  <c r="F9" i="7"/>
  <c r="E9" i="7"/>
  <c r="H12" i="7"/>
  <c r="G12" i="7"/>
  <c r="H11" i="7"/>
  <c r="G11" i="7"/>
  <c r="H10" i="7"/>
  <c r="G10" i="7"/>
  <c r="H9" i="7"/>
  <c r="G9" i="7"/>
  <c r="H8" i="7"/>
  <c r="G8" i="7"/>
  <c r="H7" i="7"/>
  <c r="G7" i="7"/>
  <c r="H6" i="7"/>
  <c r="G6" i="7"/>
  <c r="F8" i="7"/>
  <c r="E8" i="7"/>
  <c r="F7" i="7"/>
  <c r="E7" i="7"/>
  <c r="F6" i="7"/>
  <c r="E6" i="7"/>
  <c r="L30" i="8"/>
  <c r="K30" i="8"/>
  <c r="L29" i="8"/>
  <c r="K29" i="8"/>
  <c r="L28" i="8"/>
  <c r="K28" i="8"/>
  <c r="L27" i="8"/>
  <c r="K27" i="8"/>
  <c r="L26" i="8"/>
  <c r="K26" i="8"/>
  <c r="L25" i="8"/>
  <c r="K25" i="8"/>
  <c r="L24" i="8"/>
  <c r="K24" i="8"/>
  <c r="L23" i="8"/>
  <c r="K23" i="8"/>
  <c r="L22" i="8"/>
  <c r="K22" i="8"/>
  <c r="L21" i="8"/>
  <c r="K21" i="8"/>
  <c r="L20" i="8"/>
  <c r="K20" i="8"/>
  <c r="L19" i="8"/>
  <c r="K19" i="8"/>
  <c r="L18" i="8"/>
  <c r="K18" i="8"/>
  <c r="L17" i="8"/>
  <c r="K17" i="8"/>
  <c r="L16" i="8"/>
  <c r="K16" i="8"/>
  <c r="L15" i="8"/>
  <c r="K15" i="8"/>
  <c r="L14" i="8"/>
  <c r="K14" i="8"/>
  <c r="L13" i="8"/>
  <c r="K13" i="8"/>
  <c r="L12" i="8"/>
  <c r="K12" i="8"/>
  <c r="L11" i="8"/>
  <c r="K11" i="8"/>
  <c r="L10" i="8"/>
  <c r="K10" i="8"/>
  <c r="L9" i="8"/>
  <c r="K9" i="8"/>
  <c r="L8" i="8"/>
  <c r="K8" i="8"/>
  <c r="L7" i="8"/>
  <c r="K7" i="8"/>
  <c r="L6" i="8"/>
  <c r="K6" i="8"/>
  <c r="L30" i="7"/>
  <c r="K30" i="7"/>
  <c r="L29" i="7"/>
  <c r="K29" i="7"/>
  <c r="L28" i="7"/>
  <c r="K28" i="7"/>
  <c r="L27" i="7"/>
  <c r="K27" i="7"/>
  <c r="L26" i="7"/>
  <c r="K26" i="7"/>
  <c r="L25" i="7"/>
  <c r="K25" i="7"/>
  <c r="L24" i="7"/>
  <c r="K24" i="7"/>
  <c r="L23" i="7"/>
  <c r="K23" i="7"/>
  <c r="L22" i="7"/>
  <c r="K22" i="7"/>
  <c r="L21" i="7"/>
  <c r="K21" i="7"/>
  <c r="L20" i="7"/>
  <c r="K20" i="7"/>
  <c r="L19" i="7"/>
  <c r="K19" i="7"/>
  <c r="L18" i="7"/>
  <c r="K18" i="7"/>
  <c r="L17" i="7"/>
  <c r="K17" i="7"/>
  <c r="L16" i="7"/>
  <c r="K16" i="7"/>
  <c r="L15" i="7"/>
  <c r="K15" i="7"/>
  <c r="L12" i="7"/>
  <c r="K12" i="7"/>
  <c r="L11" i="7"/>
  <c r="K11" i="7"/>
  <c r="L10" i="7"/>
  <c r="K10" i="7"/>
  <c r="L9" i="7"/>
  <c r="K9" i="7"/>
  <c r="L8" i="7"/>
  <c r="K8" i="7"/>
  <c r="L7" i="7"/>
  <c r="K7" i="7"/>
  <c r="L6" i="7"/>
  <c r="K6" i="7"/>
  <c r="G6" i="1"/>
  <c r="G12" i="1"/>
  <c r="G13" i="1"/>
  <c r="G14" i="1"/>
  <c r="G15" i="1"/>
  <c r="G16" i="1"/>
  <c r="G17" i="1"/>
  <c r="G18" i="1"/>
  <c r="G19" i="1"/>
  <c r="G20" i="1"/>
  <c r="G21" i="1"/>
  <c r="G11" i="1"/>
  <c r="G24" i="1"/>
  <c r="G23" i="1"/>
  <c r="G22" i="1"/>
  <c r="G10" i="1"/>
  <c r="G9" i="1"/>
  <c r="G8" i="1"/>
  <c r="G7" i="1"/>
  <c r="G5" i="1"/>
  <c r="G4" i="1"/>
  <c r="E24" i="1"/>
  <c r="E27" i="1"/>
  <c r="E23" i="1"/>
  <c r="E22" i="1"/>
  <c r="E12" i="1"/>
  <c r="E13" i="1"/>
  <c r="E14" i="1"/>
  <c r="E15" i="1"/>
  <c r="E16" i="1"/>
  <c r="E17" i="1"/>
  <c r="E18" i="1"/>
  <c r="E19" i="1"/>
  <c r="E20" i="1"/>
  <c r="E21" i="1"/>
  <c r="E11" i="1"/>
  <c r="E10" i="1"/>
  <c r="E9" i="1"/>
  <c r="E8" i="1"/>
  <c r="E7" i="1"/>
  <c r="E6" i="1"/>
  <c r="E5" i="1"/>
  <c r="E4" i="1"/>
  <c r="H16" i="6"/>
  <c r="G7" i="6"/>
  <c r="I31" i="6"/>
  <c r="G6" i="6" s="1"/>
  <c r="G5" i="6"/>
  <c r="D28" i="6"/>
  <c r="E28" i="6"/>
  <c r="F28" i="6"/>
  <c r="F27" i="6"/>
  <c r="E27" i="6"/>
  <c r="D27" i="6"/>
  <c r="L30" i="5"/>
  <c r="K30" i="5"/>
  <c r="L29" i="5"/>
  <c r="K29" i="5"/>
  <c r="L27" i="5"/>
  <c r="K27" i="5"/>
  <c r="L26" i="5"/>
  <c r="K26" i="5"/>
  <c r="L25" i="5"/>
  <c r="K25" i="5"/>
  <c r="L24" i="5"/>
  <c r="K24" i="5"/>
  <c r="H30" i="5"/>
  <c r="G30" i="5"/>
  <c r="H29" i="5"/>
  <c r="G29" i="5"/>
  <c r="H27" i="5"/>
  <c r="G27" i="5"/>
  <c r="H26" i="5"/>
  <c r="G26" i="5"/>
  <c r="H25" i="5"/>
  <c r="G25" i="5"/>
  <c r="H24" i="5"/>
  <c r="G24" i="5"/>
  <c r="F30" i="5"/>
  <c r="E30" i="5"/>
  <c r="F29" i="5"/>
  <c r="E29" i="5"/>
  <c r="F27" i="5"/>
  <c r="E27" i="5"/>
  <c r="F26" i="5"/>
  <c r="E26" i="5"/>
  <c r="F25" i="5"/>
  <c r="E25" i="5"/>
  <c r="E24" i="5"/>
  <c r="F24" i="5"/>
  <c r="L23" i="5"/>
  <c r="K23" i="5"/>
  <c r="H23" i="5"/>
  <c r="G23" i="5"/>
  <c r="F23" i="5"/>
  <c r="E23" i="5"/>
  <c r="L22" i="5"/>
  <c r="K22" i="5"/>
  <c r="H22" i="5"/>
  <c r="G22" i="5"/>
  <c r="F22" i="5"/>
  <c r="E22" i="5"/>
  <c r="L21" i="5"/>
  <c r="K21" i="5"/>
  <c r="H21" i="5"/>
  <c r="G21" i="5"/>
  <c r="F21" i="5"/>
  <c r="E21" i="5"/>
  <c r="L20" i="5"/>
  <c r="K20" i="5"/>
  <c r="H20" i="5"/>
  <c r="G20" i="5"/>
  <c r="F20" i="5"/>
  <c r="E20" i="5"/>
  <c r="L19" i="5"/>
  <c r="K19" i="5"/>
  <c r="H19" i="5"/>
  <c r="G19" i="5"/>
  <c r="F19" i="5"/>
  <c r="E19" i="5"/>
  <c r="L18" i="5"/>
  <c r="K18" i="5"/>
  <c r="H18" i="5"/>
  <c r="G18" i="5"/>
  <c r="F18" i="5"/>
  <c r="E18" i="5"/>
  <c r="L17" i="5"/>
  <c r="K17" i="5"/>
  <c r="H17" i="5"/>
  <c r="G17" i="5"/>
  <c r="F17" i="5"/>
  <c r="E17" i="5"/>
  <c r="L16" i="5"/>
  <c r="K16" i="5"/>
  <c r="H16" i="5"/>
  <c r="G16" i="5"/>
  <c r="F16" i="5"/>
  <c r="E16" i="5"/>
  <c r="L15" i="5"/>
  <c r="K15" i="5"/>
  <c r="H15" i="5"/>
  <c r="G15" i="5"/>
  <c r="F15" i="5"/>
  <c r="E15" i="5"/>
  <c r="L14" i="5"/>
  <c r="K14" i="5"/>
  <c r="H14" i="5"/>
  <c r="G14" i="5"/>
  <c r="F14" i="5"/>
  <c r="E14" i="5"/>
  <c r="L13" i="5"/>
  <c r="K13" i="5"/>
  <c r="H13" i="5"/>
  <c r="G13" i="5"/>
  <c r="F13" i="5"/>
  <c r="E13" i="5"/>
  <c r="L12" i="5"/>
  <c r="K12" i="5"/>
  <c r="H12" i="5"/>
  <c r="G12" i="5"/>
  <c r="F12" i="5"/>
  <c r="E12" i="5"/>
  <c r="L11" i="5"/>
  <c r="K11" i="5"/>
  <c r="H11" i="5"/>
  <c r="G11" i="5"/>
  <c r="F11" i="5"/>
  <c r="E11" i="5"/>
  <c r="L10" i="5"/>
  <c r="K10" i="5"/>
  <c r="H10" i="5"/>
  <c r="G10" i="5"/>
  <c r="F10" i="5"/>
  <c r="E10" i="5"/>
  <c r="L9" i="5"/>
  <c r="K9" i="5"/>
  <c r="H9" i="5"/>
  <c r="G9" i="5"/>
  <c r="F9" i="5"/>
  <c r="E9" i="5"/>
  <c r="L8" i="5"/>
  <c r="K8" i="5"/>
  <c r="H8" i="5"/>
  <c r="G8" i="5"/>
  <c r="F8" i="5"/>
  <c r="E8" i="5"/>
  <c r="L7" i="5"/>
  <c r="K7" i="5"/>
  <c r="H7" i="5"/>
  <c r="G7" i="5"/>
  <c r="F7" i="5"/>
  <c r="E7" i="5"/>
  <c r="L6" i="5"/>
  <c r="K6" i="5"/>
  <c r="H6" i="5"/>
  <c r="G6" i="5"/>
  <c r="F6" i="5"/>
  <c r="E6" i="5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K6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F25" i="2"/>
  <c r="F24" i="2"/>
  <c r="F23" i="2"/>
  <c r="F22" i="2"/>
  <c r="F21" i="2"/>
  <c r="F20" i="2"/>
  <c r="F19" i="2"/>
  <c r="F18" i="2"/>
  <c r="F17" i="2"/>
  <c r="F16" i="2"/>
  <c r="F15" i="2"/>
  <c r="F14" i="2"/>
  <c r="E23" i="2"/>
  <c r="E22" i="2"/>
  <c r="E21" i="2"/>
  <c r="E20" i="2"/>
  <c r="E19" i="2"/>
  <c r="E18" i="2"/>
  <c r="E17" i="2"/>
  <c r="E16" i="2"/>
  <c r="E15" i="2"/>
  <c r="E14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F30" i="2"/>
  <c r="F29" i="2"/>
  <c r="F28" i="2"/>
  <c r="F27" i="2"/>
  <c r="F26" i="2"/>
  <c r="F13" i="2"/>
  <c r="F12" i="2"/>
  <c r="F11" i="2"/>
  <c r="F10" i="2"/>
  <c r="F9" i="2"/>
  <c r="F8" i="2"/>
  <c r="F7" i="2"/>
  <c r="F6" i="2"/>
  <c r="E13" i="2"/>
  <c r="E30" i="2"/>
  <c r="E29" i="2"/>
  <c r="E28" i="2"/>
  <c r="E27" i="2"/>
  <c r="E26" i="2"/>
  <c r="E25" i="2"/>
  <c r="E24" i="2"/>
  <c r="E12" i="2"/>
  <c r="E11" i="2"/>
  <c r="E10" i="2"/>
  <c r="E9" i="2"/>
  <c r="E8" i="2"/>
  <c r="E7" i="2"/>
  <c r="E6" i="2"/>
  <c r="F6" i="1"/>
  <c r="F5" i="1"/>
  <c r="F4" i="1"/>
  <c r="F10" i="1"/>
  <c r="F9" i="1"/>
  <c r="F8" i="1"/>
  <c r="F7" i="1"/>
  <c r="F11" i="1"/>
  <c r="H10" i="1"/>
  <c r="H9" i="1"/>
  <c r="H8" i="1"/>
  <c r="H7" i="1"/>
  <c r="H6" i="1"/>
  <c r="H5" i="1"/>
  <c r="H4" i="1"/>
  <c r="H24" i="1"/>
  <c r="H23" i="1"/>
  <c r="H22" i="1"/>
  <c r="F27" i="1"/>
  <c r="F24" i="1"/>
  <c r="F23" i="1"/>
  <c r="F22" i="1"/>
  <c r="H20" i="1"/>
  <c r="H21" i="1"/>
  <c r="H12" i="1"/>
  <c r="H13" i="1"/>
  <c r="H14" i="1"/>
  <c r="H15" i="1"/>
  <c r="H16" i="1"/>
  <c r="H17" i="1"/>
  <c r="H18" i="1"/>
  <c r="H19" i="1"/>
  <c r="F12" i="1"/>
  <c r="F13" i="1"/>
  <c r="F14" i="1"/>
  <c r="F15" i="1"/>
  <c r="F16" i="1"/>
  <c r="F17" i="1"/>
  <c r="F18" i="1"/>
  <c r="F19" i="1"/>
  <c r="F20" i="1"/>
  <c r="F21" i="1"/>
  <c r="E34" i="7" l="1"/>
  <c r="H34" i="7"/>
  <c r="F34" i="8"/>
  <c r="F34" i="7"/>
  <c r="H34" i="8"/>
  <c r="E34" i="8"/>
  <c r="G34" i="1"/>
  <c r="F34" i="1"/>
  <c r="E34" i="1"/>
  <c r="H34" i="1"/>
</calcChain>
</file>

<file path=xl/sharedStrings.xml><?xml version="1.0" encoding="utf-8"?>
<sst xmlns="http://schemas.openxmlformats.org/spreadsheetml/2006/main" count="199" uniqueCount="70">
  <si>
    <t>Mauritania</t>
  </si>
  <si>
    <t>Senegal</t>
  </si>
  <si>
    <t xml:space="preserve">Guinea Bisao </t>
  </si>
  <si>
    <t>Urban</t>
  </si>
  <si>
    <t>Females</t>
  </si>
  <si>
    <t>Born there</t>
  </si>
  <si>
    <t>Less than Basic</t>
  </si>
  <si>
    <t>Basic</t>
  </si>
  <si>
    <t>Intermediate</t>
  </si>
  <si>
    <t>Advanced</t>
  </si>
  <si>
    <t>Informality</t>
  </si>
  <si>
    <t>Income by hour</t>
  </si>
  <si>
    <t>Salaried</t>
  </si>
  <si>
    <t>Self employed</t>
  </si>
  <si>
    <t>Total income</t>
  </si>
  <si>
    <t>Hours worked</t>
  </si>
  <si>
    <t>NEET</t>
  </si>
  <si>
    <t>Employed</t>
  </si>
  <si>
    <t>Unemployed</t>
  </si>
  <si>
    <t>In School or Training</t>
  </si>
  <si>
    <t>Family responsibilities</t>
  </si>
  <si>
    <t>The Gambia</t>
  </si>
  <si>
    <t>Note: Author's calculations. Income in local currency</t>
  </si>
  <si>
    <t>Outside of LF</t>
  </si>
  <si>
    <t>macti1</t>
  </si>
  <si>
    <t>macti2</t>
  </si>
  <si>
    <t>macti3</t>
  </si>
  <si>
    <t>macti4</t>
  </si>
  <si>
    <t>macti5</t>
  </si>
  <si>
    <t>neet</t>
  </si>
  <si>
    <t>OPG</t>
  </si>
  <si>
    <t>Area</t>
  </si>
  <si>
    <t>National</t>
  </si>
  <si>
    <t xml:space="preserve">Female </t>
  </si>
  <si>
    <t>Male</t>
  </si>
  <si>
    <t xml:space="preserve">Urban </t>
  </si>
  <si>
    <t>Rural</t>
  </si>
  <si>
    <t>Sex</t>
  </si>
  <si>
    <t>Nationality</t>
  </si>
  <si>
    <t>Foreign</t>
  </si>
  <si>
    <t>Date of survey</t>
  </si>
  <si>
    <t>Survey</t>
  </si>
  <si>
    <t>LFS</t>
  </si>
  <si>
    <t>MRT</t>
  </si>
  <si>
    <t>Total</t>
  </si>
  <si>
    <t>Anne</t>
  </si>
  <si>
    <t>Mois</t>
  </si>
  <si>
    <t>2016-2017</t>
  </si>
  <si>
    <t>Exchange date</t>
  </si>
  <si>
    <t>Currency to USD</t>
  </si>
  <si>
    <t>Exchange type</t>
  </si>
  <si>
    <t>Fixed</t>
  </si>
  <si>
    <t>Floating</t>
  </si>
  <si>
    <t>GMB</t>
  </si>
  <si>
    <t>Median interview</t>
  </si>
  <si>
    <t>95 percentile interview</t>
  </si>
  <si>
    <t>exchange in these dates</t>
  </si>
  <si>
    <t>Country</t>
  </si>
  <si>
    <t>GNB</t>
  </si>
  <si>
    <t>SEN</t>
  </si>
  <si>
    <t>LCU to USD</t>
  </si>
  <si>
    <t>From WBG data and</t>
  </si>
  <si>
    <t>https://www.theglobaleconomy.com/Guinea-Bissau/Dollar_exchange_rate/</t>
  </si>
  <si>
    <t>https://data.worldbank.org/indicator/PA.NUS.FCRF?locations=GW</t>
  </si>
  <si>
    <t>https://www.exchange-rates.org/exchange-rate-history/xof-usd-2021</t>
  </si>
  <si>
    <t>HS</t>
  </si>
  <si>
    <t>UM</t>
  </si>
  <si>
    <t>USD</t>
  </si>
  <si>
    <t>one dollar</t>
  </si>
  <si>
    <t>2022-2023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</si>
</sst>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name val="Calibri"/>
      <family val="2"/>
    </font>
    <font>
      <sz val="8"/>
      <name val="Calibri"/>
      <family val="2"/>
    </font>
    <font>
      <sz val="10"/>
      <color rgb="FF000000"/>
      <name val="Arial"/>
      <family val="2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0" fillId="2" borderId="2" xfId="0" applyFill="1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2" borderId="4" xfId="0" applyFill="1" applyBorder="1" applyAlignment="1">
      <alignment horizontal="center" vertical="top"/>
    </xf>
    <xf numFmtId="0" fontId="0" fillId="2" borderId="5" xfId="0" applyFill="1" applyBorder="1" applyAlignment="1">
      <alignment horizontal="center" vertical="top"/>
    </xf>
    <xf numFmtId="1" fontId="0" fillId="2" borderId="0" xfId="0" applyNumberFormat="1" applyFill="1" applyAlignment="1">
      <alignment horizontal="center" vertical="top"/>
    </xf>
    <xf numFmtId="1" fontId="0" fillId="2" borderId="1" xfId="0" applyNumberFormat="1" applyFill="1" applyBorder="1" applyAlignment="1">
      <alignment horizontal="center" vertical="top"/>
    </xf>
    <xf numFmtId="0" fontId="0" fillId="2" borderId="6" xfId="0" applyFill="1" applyBorder="1" applyAlignment="1">
      <alignment horizontal="left" vertical="top"/>
    </xf>
    <xf numFmtId="0" fontId="0" fillId="2" borderId="7" xfId="0" applyFill="1" applyBorder="1" applyAlignment="1">
      <alignment horizontal="left" vertical="top"/>
    </xf>
    <xf numFmtId="1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1" fontId="0" fillId="2" borderId="4" xfId="0" applyNumberFormat="1" applyFill="1" applyBorder="1" applyAlignment="1">
      <alignment horizontal="center" vertical="top"/>
    </xf>
    <xf numFmtId="1" fontId="0" fillId="2" borderId="5" xfId="0" applyNumberFormat="1" applyFill="1" applyBorder="1" applyAlignment="1">
      <alignment horizontal="center" vertical="top"/>
    </xf>
    <xf numFmtId="0" fontId="0" fillId="2" borderId="8" xfId="0" applyFill="1" applyBorder="1" applyAlignment="1">
      <alignment horizontal="left" vertical="top"/>
    </xf>
    <xf numFmtId="1" fontId="0" fillId="2" borderId="4" xfId="0" applyNumberFormat="1" applyFill="1" applyBorder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3" fontId="0" fillId="0" borderId="0" xfId="0" applyNumberFormat="1"/>
    <xf numFmtId="17" fontId="0" fillId="0" borderId="0" xfId="0" applyNumberFormat="1"/>
    <xf numFmtId="164" fontId="0" fillId="0" borderId="0" xfId="0" applyNumberFormat="1"/>
    <xf numFmtId="0" fontId="0" fillId="3" borderId="0" xfId="0" applyFill="1"/>
    <xf numFmtId="0" fontId="2" fillId="0" borderId="0" xfId="0" applyFont="1"/>
    <xf numFmtId="0" fontId="3" fillId="0" borderId="0" xfId="0" applyFont="1"/>
    <xf numFmtId="1" fontId="0" fillId="0" borderId="0" xfId="0" applyNumberFormat="1"/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Sergio_Rivera\Work\World_Bank\Poverty\P4%20Africa%20Oaxaca%20Decomposition\4_Outputs\Tables\Z_Descriptive_statistics.xlsx" TargetMode="External"/><Relationship Id="rId1" Type="http://schemas.openxmlformats.org/officeDocument/2006/relationships/externalLinkPath" Target="Z_Descriptive_statist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MB By urban"/>
      <sheetName val="GMB Total"/>
      <sheetName val="GMB By female"/>
      <sheetName val="GMB By born_here"/>
      <sheetName val="MRT By urban"/>
      <sheetName val="MRT Total"/>
      <sheetName val="MRT By female"/>
      <sheetName val="MRT By born_here"/>
      <sheetName val="SEN By urban"/>
      <sheetName val="SEN Total"/>
      <sheetName val="SEN By female"/>
      <sheetName val="SEN By born_here"/>
      <sheetName val="GNB By urban"/>
      <sheetName val="GNB Total"/>
      <sheetName val="GNB By female"/>
      <sheetName val="GNB By born_here"/>
    </sheetNames>
    <sheetDataSet>
      <sheetData sheetId="0">
        <row r="2">
          <cell r="C2">
            <v>100</v>
          </cell>
          <cell r="D2">
            <v>0</v>
          </cell>
        </row>
        <row r="6">
          <cell r="C6">
            <v>51.141689300537109</v>
          </cell>
          <cell r="D6">
            <v>52.681156158447266</v>
          </cell>
        </row>
        <row r="8">
          <cell r="C8">
            <v>92.499702453613281</v>
          </cell>
          <cell r="D8">
            <v>96.422859191894531</v>
          </cell>
        </row>
        <row r="10">
          <cell r="C10">
            <v>28.443748474121094</v>
          </cell>
          <cell r="D10">
            <v>53.492622375488281</v>
          </cell>
        </row>
        <row r="12">
          <cell r="C12">
            <v>28.91099739074707</v>
          </cell>
          <cell r="D12">
            <v>26.795570373535156</v>
          </cell>
        </row>
        <row r="14">
          <cell r="C14">
            <v>31.284406661987305</v>
          </cell>
          <cell r="D14">
            <v>15.134303092956543</v>
          </cell>
        </row>
        <row r="16">
          <cell r="C16">
            <v>11.360847473144531</v>
          </cell>
          <cell r="D16">
            <v>4.5775036811828613</v>
          </cell>
        </row>
        <row r="18">
          <cell r="C18">
            <v>25.202207565307617</v>
          </cell>
          <cell r="D18">
            <v>13.197819709777832</v>
          </cell>
        </row>
        <row r="20">
          <cell r="C20">
            <v>2.635106086730957</v>
          </cell>
          <cell r="D20">
            <v>2.1951897144317627</v>
          </cell>
        </row>
        <row r="21">
          <cell r="C21">
            <v>6.0567874908447266</v>
          </cell>
          <cell r="D21">
            <v>7.2957010269165039</v>
          </cell>
        </row>
        <row r="22">
          <cell r="C22">
            <v>18.73314094543457</v>
          </cell>
          <cell r="D22">
            <v>17.324878692626953</v>
          </cell>
        </row>
        <row r="23">
          <cell r="C23">
            <v>37.165657043457031</v>
          </cell>
          <cell r="D23">
            <v>37.978858947753906</v>
          </cell>
        </row>
        <row r="24">
          <cell r="C24">
            <v>11.396101951599121</v>
          </cell>
          <cell r="D24">
            <v>6.6543340682983398</v>
          </cell>
        </row>
        <row r="25">
          <cell r="C25">
            <v>25.07017707824707</v>
          </cell>
          <cell r="D25">
            <v>12.233457565307617</v>
          </cell>
        </row>
        <row r="26">
          <cell r="C26">
            <v>14.40928840637207</v>
          </cell>
          <cell r="D26">
            <v>9.3606243133544922</v>
          </cell>
        </row>
        <row r="27">
          <cell r="C27">
            <v>30.830114364624023</v>
          </cell>
          <cell r="D27">
            <v>22.336433410644531</v>
          </cell>
        </row>
        <row r="34">
          <cell r="C34">
            <v>47.022254943847656</v>
          </cell>
          <cell r="D34">
            <v>42.602062225341797</v>
          </cell>
        </row>
        <row r="35">
          <cell r="C35">
            <v>24.607566833496094</v>
          </cell>
          <cell r="D35">
            <v>25.850603103637695</v>
          </cell>
        </row>
        <row r="36">
          <cell r="C36">
            <v>36.7308349609375</v>
          </cell>
          <cell r="D36">
            <v>36.320713043212891</v>
          </cell>
        </row>
        <row r="42">
          <cell r="C42">
            <v>22.132242202758789</v>
          </cell>
          <cell r="D42">
            <v>18.266237258911133</v>
          </cell>
        </row>
        <row r="44">
          <cell r="C44">
            <v>1.9165927171707153</v>
          </cell>
          <cell r="D44">
            <v>7.6558523178100586</v>
          </cell>
        </row>
        <row r="46">
          <cell r="C46">
            <v>7.1163134574890137</v>
          </cell>
          <cell r="D46">
            <v>2.7037622928619385</v>
          </cell>
        </row>
        <row r="48">
          <cell r="C48">
            <v>41.840980529785156</v>
          </cell>
          <cell r="D48">
            <v>47.613761901855469</v>
          </cell>
        </row>
        <row r="50">
          <cell r="C50">
            <v>4.330474853515625</v>
          </cell>
          <cell r="D50">
            <v>1.8436198234558105</v>
          </cell>
        </row>
        <row r="52">
          <cell r="C52">
            <v>20.865806579589844</v>
          </cell>
          <cell r="D52">
            <v>14.938308715820313</v>
          </cell>
        </row>
        <row r="54">
          <cell r="C54">
            <v>6.9790884852409363E-2</v>
          </cell>
          <cell r="D54">
            <v>0.93551468849182129</v>
          </cell>
        </row>
        <row r="56">
          <cell r="C56">
            <v>0.38622969388961792</v>
          </cell>
          <cell r="D56">
            <v>2.9659788608551025</v>
          </cell>
        </row>
        <row r="58">
          <cell r="C58">
            <v>0.10222604870796204</v>
          </cell>
          <cell r="D58">
            <v>1.0456002950668335</v>
          </cell>
        </row>
        <row r="60">
          <cell r="C60">
            <v>6.6488026641309261E-3</v>
          </cell>
          <cell r="D60">
            <v>0.17092953622341156</v>
          </cell>
        </row>
        <row r="62">
          <cell r="C62">
            <v>1.0103883743286133</v>
          </cell>
          <cell r="D62">
            <v>0.91384279727935791</v>
          </cell>
        </row>
        <row r="64">
          <cell r="C64">
            <v>0.16413798928260803</v>
          </cell>
          <cell r="D64">
            <v>0.61457151174545288</v>
          </cell>
        </row>
        <row r="66">
          <cell r="C66">
            <v>5.816974863409996E-2</v>
          </cell>
          <cell r="D66">
            <v>0.33202078938484192</v>
          </cell>
        </row>
      </sheetData>
      <sheetData sheetId="1">
        <row r="2">
          <cell r="C2">
            <v>62.068386077880859</v>
          </cell>
        </row>
        <row r="6">
          <cell r="C6">
            <v>51.725635528564453</v>
          </cell>
        </row>
        <row r="8">
          <cell r="C8">
            <v>93.987815856933594</v>
          </cell>
        </row>
        <row r="10">
          <cell r="C10">
            <v>37.856353759765625</v>
          </cell>
        </row>
        <row r="12">
          <cell r="C12">
            <v>28.116083145141602</v>
          </cell>
        </row>
        <row r="14">
          <cell r="C14">
            <v>25.215688705444336</v>
          </cell>
        </row>
        <row r="16">
          <cell r="C16">
            <v>8.8118724822998047</v>
          </cell>
        </row>
        <row r="18">
          <cell r="C18">
            <v>20.607244491577148</v>
          </cell>
        </row>
        <row r="20">
          <cell r="C20">
            <v>2.4664628505706787</v>
          </cell>
        </row>
        <row r="21">
          <cell r="C21">
            <v>6.5626683235168457</v>
          </cell>
        </row>
        <row r="22">
          <cell r="C22">
            <v>18.344079971313477</v>
          </cell>
        </row>
        <row r="23">
          <cell r="C23">
            <v>37.393032073974609</v>
          </cell>
        </row>
        <row r="24">
          <cell r="C24">
            <v>9.3139781951904297</v>
          </cell>
        </row>
        <row r="25">
          <cell r="C25">
            <v>20.584333419799805</v>
          </cell>
        </row>
        <row r="26">
          <cell r="C26">
            <v>12.48069953918457</v>
          </cell>
        </row>
        <row r="27">
          <cell r="C27">
            <v>27.998918533325195</v>
          </cell>
        </row>
        <row r="34">
          <cell r="C34">
            <v>45.332901000976563</v>
          </cell>
        </row>
        <row r="35">
          <cell r="C35">
            <v>25.180662155151367</v>
          </cell>
        </row>
        <row r="36">
          <cell r="C36">
            <v>36.575267791748047</v>
          </cell>
        </row>
        <row r="42">
          <cell r="C42">
            <v>20.665803909301758</v>
          </cell>
        </row>
        <row r="44">
          <cell r="C44">
            <v>4.0935864448547363</v>
          </cell>
        </row>
        <row r="46">
          <cell r="C46">
            <v>5.4425616264343262</v>
          </cell>
        </row>
        <row r="48">
          <cell r="C48">
            <v>44.030689239501953</v>
          </cell>
        </row>
        <row r="50">
          <cell r="C50">
            <v>3.3871705532073975</v>
          </cell>
        </row>
        <row r="52">
          <cell r="C52">
            <v>18.617410659790039</v>
          </cell>
        </row>
        <row r="54">
          <cell r="C54">
            <v>0.39817389845848083</v>
          </cell>
        </row>
        <row r="56">
          <cell r="C56">
            <v>1.3647702932357788</v>
          </cell>
        </row>
        <row r="58">
          <cell r="C58">
            <v>0.46006315946578979</v>
          </cell>
        </row>
        <row r="60">
          <cell r="C60">
            <v>6.8963140249252319E-2</v>
          </cell>
        </row>
        <row r="62">
          <cell r="C62">
            <v>0.97376710176467896</v>
          </cell>
        </row>
        <row r="64">
          <cell r="C64">
            <v>0.33499470353126526</v>
          </cell>
        </row>
        <row r="66">
          <cell r="C66">
            <v>0.16204588115215302</v>
          </cell>
        </row>
      </sheetData>
      <sheetData sheetId="2">
        <row r="2">
          <cell r="C2">
            <v>61.367679595947266</v>
          </cell>
          <cell r="D2">
            <v>62.819187164306641</v>
          </cell>
        </row>
        <row r="6">
          <cell r="C6">
            <v>100</v>
          </cell>
          <cell r="D6">
            <v>0</v>
          </cell>
        </row>
        <row r="8">
          <cell r="C8">
            <v>94.758064270019531</v>
          </cell>
          <cell r="D8">
            <v>93.162498474121094</v>
          </cell>
        </row>
        <row r="10">
          <cell r="C10">
            <v>40.877422332763672</v>
          </cell>
          <cell r="D10">
            <v>34.593738555908203</v>
          </cell>
        </row>
        <row r="12">
          <cell r="C12">
            <v>27.878677368164063</v>
          </cell>
          <cell r="D12">
            <v>28.372470855712891</v>
          </cell>
        </row>
        <row r="14">
          <cell r="C14">
            <v>23.944292068481445</v>
          </cell>
          <cell r="D14">
            <v>26.588739395141602</v>
          </cell>
        </row>
        <row r="16">
          <cell r="C16">
            <v>7.2996072769165039</v>
          </cell>
          <cell r="D16">
            <v>10.445051193237305</v>
          </cell>
        </row>
        <row r="18">
          <cell r="C18">
            <v>15.353023529052734</v>
          </cell>
          <cell r="D18">
            <v>25.329183578491211</v>
          </cell>
        </row>
        <row r="20">
          <cell r="C20">
            <v>1.8437163829803467</v>
          </cell>
          <cell r="D20">
            <v>3.0270905494689941</v>
          </cell>
        </row>
        <row r="21">
          <cell r="C21">
            <v>4.3468904495239258</v>
          </cell>
          <cell r="D21">
            <v>8.0108108520507813</v>
          </cell>
        </row>
        <row r="22">
          <cell r="C22">
            <v>12.819591522216797</v>
          </cell>
          <cell r="D22">
            <v>20.562728881835938</v>
          </cell>
        </row>
        <row r="23">
          <cell r="C23">
            <v>23.014299392700195</v>
          </cell>
          <cell r="D23">
            <v>41.595516204833984</v>
          </cell>
        </row>
        <row r="24">
          <cell r="C24">
            <v>6.1129631996154785</v>
          </cell>
          <cell r="D24">
            <v>13.633706092834473</v>
          </cell>
        </row>
        <row r="25">
          <cell r="C25">
            <v>14.464033126831055</v>
          </cell>
          <cell r="D25">
            <v>26.092550277709961</v>
          </cell>
        </row>
        <row r="26">
          <cell r="C26">
            <v>7.5363898277282715</v>
          </cell>
          <cell r="D26">
            <v>16.926088333129883</v>
          </cell>
        </row>
        <row r="27">
          <cell r="C27">
            <v>16.871732711791992</v>
          </cell>
          <cell r="D27">
            <v>34.513839721679688</v>
          </cell>
        </row>
        <row r="34">
          <cell r="C34">
            <v>37.325592041015625</v>
          </cell>
          <cell r="D34">
            <v>52.518398284912109</v>
          </cell>
        </row>
        <row r="35">
          <cell r="C35">
            <v>22.621528625488281</v>
          </cell>
          <cell r="D35">
            <v>25.194183349609375</v>
          </cell>
        </row>
        <row r="36">
          <cell r="C36">
            <v>39.925132751464844</v>
          </cell>
          <cell r="D36">
            <v>32.985912322998047</v>
          </cell>
        </row>
        <row r="42">
          <cell r="C42">
            <v>16.085508346557617</v>
          </cell>
          <cell r="D42">
            <v>25.573556900024414</v>
          </cell>
        </row>
        <row r="44">
          <cell r="C44">
            <v>6.1715865135192871</v>
          </cell>
          <cell r="D44">
            <v>1.8670247793197632</v>
          </cell>
        </row>
        <row r="46">
          <cell r="C46">
            <v>10.190922737121582</v>
          </cell>
          <cell r="D46">
            <v>0.35472628474235535</v>
          </cell>
        </row>
        <row r="48">
          <cell r="C48">
            <v>41.258724212646484</v>
          </cell>
          <cell r="D48">
            <v>47.000827789306641</v>
          </cell>
        </row>
        <row r="50">
          <cell r="C50">
            <v>3.0640604496002197</v>
          </cell>
          <cell r="D50">
            <v>3.7333810329437256</v>
          </cell>
        </row>
        <row r="52">
          <cell r="C52">
            <v>17.893819808959961</v>
          </cell>
          <cell r="D52">
            <v>19.392732620239258</v>
          </cell>
        </row>
        <row r="54">
          <cell r="C54">
            <v>0.58423340320587158</v>
          </cell>
          <cell r="D54">
            <v>0.19881248474121094</v>
          </cell>
        </row>
        <row r="56">
          <cell r="C56">
            <v>1.9855706691741943</v>
          </cell>
          <cell r="D56">
            <v>0.69958710670471191</v>
          </cell>
        </row>
        <row r="58">
          <cell r="C58">
            <v>0.52013540267944336</v>
          </cell>
          <cell r="D58">
            <v>0.39569613337516785</v>
          </cell>
        </row>
        <row r="60">
          <cell r="C60">
            <v>1.7248725052922964E-3</v>
          </cell>
          <cell r="D60">
            <v>0.14100846648216248</v>
          </cell>
        </row>
        <row r="62">
          <cell r="C62">
            <v>1.8387449979782104</v>
          </cell>
          <cell r="D62">
            <v>4.69495989382267E-2</v>
          </cell>
        </row>
        <row r="64">
          <cell r="C64">
            <v>0.1333974152803421</v>
          </cell>
          <cell r="D64">
            <v>0.55100470781326294</v>
          </cell>
        </row>
        <row r="66">
          <cell r="C66">
            <v>0.27157127857208252</v>
          </cell>
          <cell r="D66">
            <v>4.4690202921628952E-2</v>
          </cell>
        </row>
      </sheetData>
      <sheetData sheetId="3">
        <row r="2">
          <cell r="C2">
            <v>61.085651397705078</v>
          </cell>
          <cell r="D2">
            <v>77.431350708007813</v>
          </cell>
        </row>
        <row r="6">
          <cell r="C6">
            <v>52.1495361328125</v>
          </cell>
          <cell r="D6">
            <v>45.098834991455078</v>
          </cell>
        </row>
        <row r="8">
          <cell r="C8">
            <v>100</v>
          </cell>
          <cell r="D8">
            <v>0</v>
          </cell>
        </row>
        <row r="10">
          <cell r="C10">
            <v>36.693206787109375</v>
          </cell>
          <cell r="D10">
            <v>55.067588806152344</v>
          </cell>
        </row>
        <row r="12">
          <cell r="C12">
            <v>28.281024932861328</v>
          </cell>
          <cell r="D12">
            <v>25.675424575805664</v>
          </cell>
        </row>
        <row r="14">
          <cell r="C14">
            <v>25.993709564208984</v>
          </cell>
          <cell r="D14">
            <v>13.703222274780273</v>
          </cell>
        </row>
        <row r="16">
          <cell r="C16">
            <v>9.0320577621459961</v>
          </cell>
          <cell r="D16">
            <v>5.553764820098877</v>
          </cell>
        </row>
        <row r="18">
          <cell r="C18">
            <v>20.807659149169922</v>
          </cell>
          <cell r="D18">
            <v>18.017013549804688</v>
          </cell>
        </row>
        <row r="20">
          <cell r="C20">
            <v>2.5234403610229492</v>
          </cell>
          <cell r="D20">
            <v>1.7307655811309814</v>
          </cell>
        </row>
        <row r="21">
          <cell r="C21">
            <v>6.7532200813293457</v>
          </cell>
          <cell r="D21">
            <v>3.1202833652496338</v>
          </cell>
        </row>
        <row r="22">
          <cell r="C22">
            <v>18.583242416381836</v>
          </cell>
          <cell r="D22">
            <v>13.70589542388916</v>
          </cell>
        </row>
        <row r="23">
          <cell r="C23">
            <v>38.122848510742188</v>
          </cell>
          <cell r="D23">
            <v>17.568988800048828</v>
          </cell>
        </row>
        <row r="24">
          <cell r="C24">
            <v>9.2953805923461914</v>
          </cell>
          <cell r="D24">
            <v>9.5161285400390625</v>
          </cell>
        </row>
        <row r="25">
          <cell r="C25">
            <v>21.147186279296875</v>
          </cell>
          <cell r="D25">
            <v>12.985525131225586</v>
          </cell>
        </row>
        <row r="26">
          <cell r="C26">
            <v>12.632736206054688</v>
          </cell>
          <cell r="D26">
            <v>10.518177032470703</v>
          </cell>
        </row>
        <row r="27">
          <cell r="C27">
            <v>28.783523559570313</v>
          </cell>
          <cell r="D27">
            <v>14.317037582397461</v>
          </cell>
        </row>
        <row r="34">
          <cell r="C34">
            <v>44.713081359863281</v>
          </cell>
          <cell r="D34">
            <v>53.333976745605469</v>
          </cell>
        </row>
        <row r="35">
          <cell r="C35">
            <v>24.965017318725586</v>
          </cell>
          <cell r="D35">
            <v>26.560512542724609</v>
          </cell>
        </row>
        <row r="36">
          <cell r="C36">
            <v>36.243278503417969</v>
          </cell>
          <cell r="D36">
            <v>41.765243530273438</v>
          </cell>
        </row>
        <row r="42">
          <cell r="C42">
            <v>20.477895736694336</v>
          </cell>
          <cell r="D42">
            <v>23.60334587097168</v>
          </cell>
        </row>
        <row r="44">
          <cell r="C44">
            <v>4.0965709686279297</v>
          </cell>
          <cell r="D44">
            <v>4.0469346046447754</v>
          </cell>
        </row>
        <row r="46">
          <cell r="C46">
            <v>5.2198300361633301</v>
          </cell>
          <cell r="D46">
            <v>8.9244976043701172</v>
          </cell>
        </row>
        <row r="48">
          <cell r="C48">
            <v>43.589447021484375</v>
          </cell>
          <cell r="D48">
            <v>50.928600311279297</v>
          </cell>
        </row>
        <row r="50">
          <cell r="C50">
            <v>3.4611203670501709</v>
          </cell>
          <cell r="D50">
            <v>2.2311232089996338</v>
          </cell>
        </row>
        <row r="52">
          <cell r="C52">
            <v>19.352727890014648</v>
          </cell>
          <cell r="D52">
            <v>7.1222681999206543</v>
          </cell>
        </row>
        <row r="54">
          <cell r="C54">
            <v>0.41220861673355103</v>
          </cell>
          <cell r="D54">
            <v>0.17877055704593658</v>
          </cell>
        </row>
        <row r="56">
          <cell r="C56">
            <v>1.3550056219100952</v>
          </cell>
          <cell r="D56">
            <v>1.5174195766448975</v>
          </cell>
        </row>
        <row r="58">
          <cell r="C58">
            <v>0.46947786211967468</v>
          </cell>
          <cell r="D58">
            <v>0.312884122133255</v>
          </cell>
        </row>
        <row r="60">
          <cell r="C60">
            <v>6.8779803812503815E-2</v>
          </cell>
          <cell r="D60">
            <v>7.1829177439212799E-2</v>
          </cell>
        </row>
        <row r="62">
          <cell r="C62">
            <v>0.97838699817657471</v>
          </cell>
          <cell r="D62">
            <v>0.90154522657394409</v>
          </cell>
        </row>
        <row r="64">
          <cell r="C64">
            <v>0.34897580742835999</v>
          </cell>
          <cell r="D64">
            <v>0.11642935127019882</v>
          </cell>
        </row>
        <row r="66">
          <cell r="C66">
            <v>0.1695745438337326</v>
          </cell>
          <cell r="D66">
            <v>4.4351037591695786E-2</v>
          </cell>
        </row>
      </sheetData>
      <sheetData sheetId="4">
        <row r="2">
          <cell r="C2">
            <v>100</v>
          </cell>
          <cell r="D2">
            <v>0</v>
          </cell>
        </row>
        <row r="6">
          <cell r="C6">
            <v>54.558963775634766</v>
          </cell>
          <cell r="D6">
            <v>61.976860046386719</v>
          </cell>
        </row>
        <row r="8">
          <cell r="C8">
            <v>97.395668029785156</v>
          </cell>
          <cell r="D8">
            <v>99.35174560546875</v>
          </cell>
        </row>
        <row r="10">
          <cell r="C10">
            <v>38.704914093017578</v>
          </cell>
          <cell r="D10">
            <v>55.488231658935547</v>
          </cell>
        </row>
        <row r="12">
          <cell r="C12">
            <v>50.66156005859375</v>
          </cell>
          <cell r="D12">
            <v>41.802326202392578</v>
          </cell>
        </row>
        <row r="14">
          <cell r="C14">
            <v>3.4153497219085693</v>
          </cell>
          <cell r="D14">
            <v>2.1855781078338623</v>
          </cell>
        </row>
        <row r="16">
          <cell r="C16">
            <v>7.2181763648986816</v>
          </cell>
          <cell r="D16">
            <v>0.52386319637298584</v>
          </cell>
        </row>
        <row r="18">
          <cell r="C18">
            <v>92.808273315429688</v>
          </cell>
          <cell r="D18">
            <v>99.212821960449219</v>
          </cell>
        </row>
        <row r="20">
          <cell r="C20">
            <v>6.858863353729248</v>
          </cell>
          <cell r="D20">
            <v>3.283672571182251</v>
          </cell>
        </row>
        <row r="21">
          <cell r="C21">
            <v>16.451572418212891</v>
          </cell>
          <cell r="D21">
            <v>10.511478424072266</v>
          </cell>
        </row>
        <row r="22">
          <cell r="C22">
            <v>47.618137359619141</v>
          </cell>
          <cell r="D22">
            <v>17.475244522094727</v>
          </cell>
        </row>
        <row r="23">
          <cell r="C23">
            <v>109.36607360839844</v>
          </cell>
          <cell r="D23">
            <v>24.18681526184082</v>
          </cell>
        </row>
        <row r="24">
          <cell r="C24">
            <v>24.965080261230469</v>
          </cell>
          <cell r="D24">
            <v>16.589872360229492</v>
          </cell>
        </row>
        <row r="25">
          <cell r="C25">
            <v>55.665908813476563</v>
          </cell>
          <cell r="D25">
            <v>35.908287048339844</v>
          </cell>
        </row>
        <row r="26">
          <cell r="C26">
            <v>38.546638488769531</v>
          </cell>
          <cell r="D26">
            <v>16.984573364257813</v>
          </cell>
        </row>
        <row r="27">
          <cell r="C27">
            <v>88.78485107421875</v>
          </cell>
          <cell r="D27">
            <v>36.552494049072266</v>
          </cell>
        </row>
        <row r="30">
          <cell r="C30">
            <v>37.883171081542969</v>
          </cell>
          <cell r="D30">
            <v>49.577640533447266</v>
          </cell>
        </row>
        <row r="34">
          <cell r="C34">
            <v>4.8266968727111816</v>
          </cell>
          <cell r="D34">
            <v>2.1852374076843262</v>
          </cell>
        </row>
        <row r="35">
          <cell r="C35">
            <v>21.434097290039063</v>
          </cell>
          <cell r="D35">
            <v>14.621562957763672</v>
          </cell>
        </row>
        <row r="36">
          <cell r="C36">
            <v>18.627466201782227</v>
          </cell>
          <cell r="D36">
            <v>22.611230850219727</v>
          </cell>
        </row>
        <row r="38">
          <cell r="C38">
            <v>23.4339599609375</v>
          </cell>
          <cell r="D38">
            <v>12.296671867370605</v>
          </cell>
        </row>
        <row r="40">
          <cell r="C40">
            <v>16.535100936889648</v>
          </cell>
          <cell r="D40">
            <v>25.661098480224609</v>
          </cell>
        </row>
        <row r="42">
          <cell r="C42">
            <v>38.223087310791016</v>
          </cell>
          <cell r="D42">
            <v>37.845241546630859</v>
          </cell>
        </row>
        <row r="44">
          <cell r="C44">
            <v>3.1803843975067139</v>
          </cell>
          <cell r="D44">
            <v>1.5857576131820679</v>
          </cell>
        </row>
      </sheetData>
      <sheetData sheetId="5">
        <row r="2">
          <cell r="C2">
            <v>55.540519714355469</v>
          </cell>
        </row>
        <row r="6">
          <cell r="C6">
            <v>57.856922149658203</v>
          </cell>
        </row>
        <row r="8">
          <cell r="C8">
            <v>98.265327453613281</v>
          </cell>
        </row>
        <row r="10">
          <cell r="C10">
            <v>46.166690826416016</v>
          </cell>
        </row>
        <row r="12">
          <cell r="C12">
            <v>46.722789764404297</v>
          </cell>
        </row>
        <row r="14">
          <cell r="C14">
            <v>2.8685996532440186</v>
          </cell>
        </row>
        <row r="16">
          <cell r="C16">
            <v>4.2419195175170898</v>
          </cell>
        </row>
        <row r="18">
          <cell r="C18">
            <v>95.65570068359375</v>
          </cell>
        </row>
        <row r="20">
          <cell r="C20">
            <v>5.467625617980957</v>
          </cell>
        </row>
        <row r="21">
          <cell r="C21">
            <v>14.537367820739746</v>
          </cell>
        </row>
        <row r="22">
          <cell r="C22">
            <v>40.483688354492188</v>
          </cell>
        </row>
        <row r="23">
          <cell r="C23">
            <v>97.116973876953125</v>
          </cell>
        </row>
        <row r="24">
          <cell r="C24">
            <v>20.396570205688477</v>
          </cell>
        </row>
        <row r="25">
          <cell r="C25">
            <v>46.133895874023438</v>
          </cell>
        </row>
        <row r="26">
          <cell r="C26">
            <v>30.044946670532227</v>
          </cell>
        </row>
        <row r="27">
          <cell r="C27">
            <v>73.565704345703125</v>
          </cell>
        </row>
        <row r="28">
          <cell r="C28">
            <v>53.629589080810547</v>
          </cell>
        </row>
        <row r="29">
          <cell r="C29">
            <v>22.137632369995117</v>
          </cell>
        </row>
        <row r="30">
          <cell r="C30">
            <v>43.056407928466797</v>
          </cell>
        </row>
        <row r="36">
          <cell r="C36">
            <v>20.398626327514648</v>
          </cell>
        </row>
        <row r="38">
          <cell r="C38">
            <v>18.482379913330078</v>
          </cell>
        </row>
        <row r="40">
          <cell r="C40">
            <v>20.592472076416016</v>
          </cell>
        </row>
        <row r="42">
          <cell r="C42">
            <v>38.055099487304688</v>
          </cell>
        </row>
        <row r="44">
          <cell r="C44">
            <v>2.4714217185974121</v>
          </cell>
        </row>
      </sheetData>
      <sheetData sheetId="6">
        <row r="2">
          <cell r="C2">
            <v>52.374599456787109</v>
          </cell>
          <cell r="D2">
            <v>59.886913299560547</v>
          </cell>
        </row>
        <row r="6">
          <cell r="C6">
            <v>100</v>
          </cell>
          <cell r="D6">
            <v>0</v>
          </cell>
        </row>
        <row r="8">
          <cell r="C8">
            <v>98.526870727539063</v>
          </cell>
          <cell r="D8">
            <v>97.906265258789063</v>
          </cell>
        </row>
        <row r="10">
          <cell r="C10">
            <v>51.517749786376953</v>
          </cell>
          <cell r="D10">
            <v>38.820388793945313</v>
          </cell>
        </row>
        <row r="12">
          <cell r="C12">
            <v>44.927833557128906</v>
          </cell>
          <cell r="D12">
            <v>49.187030792236328</v>
          </cell>
        </row>
        <row r="14">
          <cell r="C14">
            <v>1.3680849075317383</v>
          </cell>
          <cell r="D14">
            <v>4.9286093711853027</v>
          </cell>
        </row>
        <row r="16">
          <cell r="C16">
            <v>2.1863322257995605</v>
          </cell>
          <cell r="D16">
            <v>7.0639710426330566</v>
          </cell>
        </row>
        <row r="18">
          <cell r="C18">
            <v>98.123031616210938</v>
          </cell>
          <cell r="D18">
            <v>92.268386840820313</v>
          </cell>
        </row>
        <row r="20">
          <cell r="C20">
            <v>4.7370409965515137</v>
          </cell>
          <cell r="D20">
            <v>5.9004487991333008</v>
          </cell>
        </row>
        <row r="21">
          <cell r="C21">
            <v>15.685815811157227</v>
          </cell>
          <cell r="D21">
            <v>13.796319961547852</v>
          </cell>
        </row>
        <row r="22">
          <cell r="C22">
            <v>52.473152160644531</v>
          </cell>
          <cell r="D22">
            <v>36.973339080810547</v>
          </cell>
        </row>
        <row r="23">
          <cell r="C23">
            <v>154.04595947265625</v>
          </cell>
          <cell r="D23">
            <v>72.11724853515625</v>
          </cell>
        </row>
        <row r="24">
          <cell r="C24">
            <v>12.165081024169922</v>
          </cell>
          <cell r="D24">
            <v>29.261547088623047</v>
          </cell>
        </row>
        <row r="25">
          <cell r="C25">
            <v>37.516948699951172</v>
          </cell>
          <cell r="D25">
            <v>52.486835479736328</v>
          </cell>
        </row>
        <row r="26">
          <cell r="C26">
            <v>22.167327880859375</v>
          </cell>
          <cell r="D26">
            <v>34.704410552978516</v>
          </cell>
        </row>
        <row r="27">
          <cell r="C27">
            <v>75.952880859375</v>
          </cell>
          <cell r="D27">
            <v>71.722137451171875</v>
          </cell>
        </row>
        <row r="30">
          <cell r="C30">
            <v>57.606552124023438</v>
          </cell>
          <cell r="D30">
            <v>23.019447326660156</v>
          </cell>
        </row>
        <row r="34">
          <cell r="C34">
            <v>2.4612195491790771</v>
          </cell>
          <cell r="D34">
            <v>6.5422263145446777</v>
          </cell>
        </row>
        <row r="35">
          <cell r="C35">
            <v>15.494746208190918</v>
          </cell>
          <cell r="D35">
            <v>24.729887008666992</v>
          </cell>
        </row>
        <row r="36">
          <cell r="C36">
            <v>21.355016708374023</v>
          </cell>
          <cell r="D36">
            <v>19.085628509521484</v>
          </cell>
        </row>
        <row r="38">
          <cell r="C38">
            <v>16.898443222045898</v>
          </cell>
          <cell r="D38">
            <v>20.656917572021484</v>
          </cell>
        </row>
        <row r="40">
          <cell r="C40">
            <v>35.073657989501953</v>
          </cell>
          <cell r="D40">
            <v>0.71170216798782349</v>
          </cell>
        </row>
        <row r="42">
          <cell r="C42">
            <v>25.017568588256836</v>
          </cell>
          <cell r="D42">
            <v>55.95391845703125</v>
          </cell>
        </row>
        <row r="44">
          <cell r="C44">
            <v>1.6553134918212891</v>
          </cell>
          <cell r="D44">
            <v>3.5918312072753906</v>
          </cell>
        </row>
      </sheetData>
      <sheetData sheetId="7">
        <row r="2">
          <cell r="C2">
            <v>55.048976898193359</v>
          </cell>
          <cell r="D2">
            <v>83.385276794433594</v>
          </cell>
        </row>
        <row r="6">
          <cell r="C6">
            <v>58.010913848876953</v>
          </cell>
          <cell r="D6">
            <v>49.133625030517578</v>
          </cell>
        </row>
        <row r="8">
          <cell r="C8">
            <v>100</v>
          </cell>
          <cell r="D8">
            <v>0</v>
          </cell>
        </row>
        <row r="10">
          <cell r="C10">
            <v>45.970630645751953</v>
          </cell>
          <cell r="D10">
            <v>57.273033142089844</v>
          </cell>
        </row>
        <row r="12">
          <cell r="C12">
            <v>47.021968841552734</v>
          </cell>
          <cell r="D12">
            <v>29.775028228759766</v>
          </cell>
        </row>
        <row r="14">
          <cell r="C14">
            <v>2.8207409381866455</v>
          </cell>
          <cell r="D14">
            <v>5.5796937942504883</v>
          </cell>
        </row>
        <row r="16">
          <cell r="C16">
            <v>4.1866602897644043</v>
          </cell>
          <cell r="D16">
            <v>7.3722448348999023</v>
          </cell>
        </row>
        <row r="18">
          <cell r="C18">
            <v>95.629150390625</v>
          </cell>
          <cell r="D18">
            <v>97.159873962402344</v>
          </cell>
        </row>
        <row r="20">
          <cell r="C20">
            <v>5.5613727569580078</v>
          </cell>
          <cell r="D20">
            <v>2.8704767227172852</v>
          </cell>
        </row>
        <row r="21">
          <cell r="C21">
            <v>14.778663635253906</v>
          </cell>
          <cell r="D21">
            <v>2.912045955657959</v>
          </cell>
        </row>
        <row r="22">
          <cell r="C22">
            <v>41.753982543945313</v>
          </cell>
          <cell r="D22">
            <v>18.861312866210938</v>
          </cell>
        </row>
        <row r="23">
          <cell r="C23">
            <v>99.725379943847656</v>
          </cell>
          <cell r="D23">
            <v>14.17954158782959</v>
          </cell>
        </row>
        <row r="24">
          <cell r="C24">
            <v>20.344985961914063</v>
          </cell>
          <cell r="D24">
            <v>24.003974914550781</v>
          </cell>
        </row>
        <row r="25">
          <cell r="C25">
            <v>46.411407470703125</v>
          </cell>
          <cell r="D25">
            <v>18.296472549438477</v>
          </cell>
        </row>
        <row r="26">
          <cell r="C26">
            <v>30.40510368347168</v>
          </cell>
          <cell r="D26">
            <v>19.923225402832031</v>
          </cell>
        </row>
        <row r="27">
          <cell r="C27">
            <v>74.783821105957031</v>
          </cell>
          <cell r="D27">
            <v>15.169528961181641</v>
          </cell>
        </row>
        <row r="30">
          <cell r="C30">
            <v>43.397331237792969</v>
          </cell>
          <cell r="D30">
            <v>23.985763549804688</v>
          </cell>
        </row>
        <row r="34">
          <cell r="C34">
            <v>3.6442413330078125</v>
          </cell>
          <cell r="D34">
            <v>2.1866724491119385</v>
          </cell>
        </row>
        <row r="35">
          <cell r="C35">
            <v>18.739467620849609</v>
          </cell>
          <cell r="D35">
            <v>14.705856323242188</v>
          </cell>
        </row>
        <row r="36">
          <cell r="C36">
            <v>20.681478500366211</v>
          </cell>
          <cell r="D36">
            <v>4.3756523132324219</v>
          </cell>
        </row>
        <row r="38">
          <cell r="C38">
            <v>18.620794296264648</v>
          </cell>
          <cell r="D38">
            <v>10.641529083251953</v>
          </cell>
        </row>
        <row r="40">
          <cell r="C40">
            <v>20.63615608215332</v>
          </cell>
          <cell r="D40">
            <v>18.117914199829102</v>
          </cell>
        </row>
        <row r="42">
          <cell r="C42">
            <v>37.572864532470703</v>
          </cell>
          <cell r="D42">
            <v>65.372711181640625</v>
          </cell>
        </row>
        <row r="44">
          <cell r="C44">
            <v>2.4887077808380127</v>
          </cell>
          <cell r="D44">
            <v>1.4921966791152954</v>
          </cell>
        </row>
      </sheetData>
      <sheetData sheetId="8">
        <row r="2">
          <cell r="C2">
            <v>100</v>
          </cell>
          <cell r="D2">
            <v>0</v>
          </cell>
        </row>
        <row r="6">
          <cell r="C6">
            <v>55.606834411621094</v>
          </cell>
          <cell r="D6">
            <v>58.358566284179688</v>
          </cell>
        </row>
        <row r="8">
          <cell r="C8">
            <v>99.178733825683594</v>
          </cell>
          <cell r="D8">
            <v>99.731430053710938</v>
          </cell>
        </row>
        <row r="10">
          <cell r="C10">
            <v>38.785419464111328</v>
          </cell>
          <cell r="D10">
            <v>71.874732971191406</v>
          </cell>
        </row>
        <row r="12">
          <cell r="C12">
            <v>41.829051971435547</v>
          </cell>
          <cell r="D12">
            <v>23.350486755371094</v>
          </cell>
        </row>
        <row r="14">
          <cell r="C14">
            <v>1.9786783456802368</v>
          </cell>
          <cell r="D14">
            <v>0.1875053197145462</v>
          </cell>
        </row>
        <row r="16">
          <cell r="C16">
            <v>17.406850814819336</v>
          </cell>
          <cell r="D16">
            <v>4.5872769355773926</v>
          </cell>
        </row>
        <row r="32">
          <cell r="C32">
            <v>92.425033569335938</v>
          </cell>
          <cell r="D32">
            <v>98.746574401855469</v>
          </cell>
        </row>
        <row r="34">
          <cell r="C34">
            <v>4.5046124458312988</v>
          </cell>
          <cell r="D34">
            <v>5.1015524864196777</v>
          </cell>
        </row>
        <row r="35">
          <cell r="C35">
            <v>6.2291126251220703</v>
          </cell>
          <cell r="D35">
            <v>6.6020731925964355</v>
          </cell>
        </row>
        <row r="36">
          <cell r="C36">
            <v>2.1222875118255615</v>
          </cell>
          <cell r="D36">
            <v>1.6641433238983154</v>
          </cell>
        </row>
        <row r="37">
          <cell r="C37">
            <v>1.5838299989700317</v>
          </cell>
          <cell r="D37">
            <v>1.3356879949569702</v>
          </cell>
        </row>
        <row r="38">
          <cell r="C38">
            <v>5.4685330390930176</v>
          </cell>
          <cell r="D38">
            <v>4.7067098617553711</v>
          </cell>
        </row>
        <row r="39">
          <cell r="C39">
            <v>6.7671880722045898</v>
          </cell>
          <cell r="D39">
            <v>5.9994206428527832</v>
          </cell>
        </row>
        <row r="40">
          <cell r="C40">
            <v>3.1175081729888916</v>
          </cell>
          <cell r="D40">
            <v>3.4433679580688477</v>
          </cell>
        </row>
        <row r="41">
          <cell r="C41">
            <v>4.0871233940124512</v>
          </cell>
          <cell r="D41">
            <v>4.407503604888916</v>
          </cell>
        </row>
        <row r="42">
          <cell r="C42">
            <v>50.635589599609375</v>
          </cell>
          <cell r="D42">
            <v>48.531131744384766</v>
          </cell>
        </row>
        <row r="43">
          <cell r="C43">
            <v>24.066396713256836</v>
          </cell>
          <cell r="D43">
            <v>24.680042266845703</v>
          </cell>
        </row>
        <row r="44">
          <cell r="C44">
            <v>15.789716720581055</v>
          </cell>
          <cell r="D44">
            <v>27.218626022338867</v>
          </cell>
        </row>
        <row r="46">
          <cell r="C46">
            <v>15.853248596191406</v>
          </cell>
          <cell r="D46">
            <v>27.251296997070313</v>
          </cell>
        </row>
        <row r="48">
          <cell r="C48">
            <v>31.00444221496582</v>
          </cell>
          <cell r="D48">
            <v>13.036133766174316</v>
          </cell>
        </row>
        <row r="50">
          <cell r="C50">
            <v>53.142307281494141</v>
          </cell>
          <cell r="D50">
            <v>59.712570190429688</v>
          </cell>
        </row>
      </sheetData>
      <sheetData sheetId="9">
        <row r="2">
          <cell r="C2">
            <v>52.108852386474609</v>
          </cell>
        </row>
        <row r="6">
          <cell r="C6">
            <v>56.924671173095703</v>
          </cell>
        </row>
        <row r="8">
          <cell r="C8">
            <v>99.443428039550781</v>
          </cell>
        </row>
        <row r="10">
          <cell r="C10">
            <v>54.632270812988281</v>
          </cell>
        </row>
        <row r="12">
          <cell r="C12">
            <v>32.979454040527344</v>
          </cell>
        </row>
        <row r="14">
          <cell r="C14">
            <v>1.1208649873733521</v>
          </cell>
        </row>
        <row r="16">
          <cell r="C16">
            <v>11.267410278320313</v>
          </cell>
        </row>
        <row r="32">
          <cell r="C32">
            <v>95.544059753417969</v>
          </cell>
        </row>
        <row r="34">
          <cell r="C34">
            <v>4.858881950378418</v>
          </cell>
        </row>
        <row r="35">
          <cell r="C35">
            <v>6.4595041275024414</v>
          </cell>
        </row>
        <row r="36">
          <cell r="C36">
            <v>2.0033116340637207</v>
          </cell>
        </row>
        <row r="37">
          <cell r="C37">
            <v>1.5362949371337891</v>
          </cell>
        </row>
        <row r="38">
          <cell r="C38">
            <v>4.9335942268371582</v>
          </cell>
        </row>
        <row r="39">
          <cell r="C39">
            <v>6.2473516464233398</v>
          </cell>
        </row>
        <row r="40">
          <cell r="C40">
            <v>3.2940964698791504</v>
          </cell>
        </row>
        <row r="41">
          <cell r="C41">
            <v>4.2666783332824707</v>
          </cell>
        </row>
        <row r="42">
          <cell r="C42">
            <v>49.597610473632813</v>
          </cell>
        </row>
        <row r="43">
          <cell r="C43">
            <v>24.393001556396484</v>
          </cell>
        </row>
        <row r="44">
          <cell r="C44">
            <v>21.256288528442383</v>
          </cell>
        </row>
        <row r="46">
          <cell r="C46">
            <v>21.311904907226563</v>
          </cell>
        </row>
        <row r="48">
          <cell r="C48">
            <v>22.399213790893555</v>
          </cell>
        </row>
        <row r="50">
          <cell r="C50">
            <v>56.288883209228516</v>
          </cell>
        </row>
      </sheetData>
      <sheetData sheetId="10">
        <row r="2">
          <cell r="C2">
            <v>50.902503967285156</v>
          </cell>
          <cell r="D2">
            <v>53.703056335449219</v>
          </cell>
        </row>
        <row r="6">
          <cell r="C6">
            <v>100</v>
          </cell>
          <cell r="D6">
            <v>0</v>
          </cell>
        </row>
        <row r="8">
          <cell r="C8">
            <v>99.6031494140625</v>
          </cell>
          <cell r="D8">
            <v>99.232353210449219</v>
          </cell>
        </row>
        <row r="10">
          <cell r="C10">
            <v>58.114891052246094</v>
          </cell>
          <cell r="D10">
            <v>50.029937744140625</v>
          </cell>
        </row>
        <row r="12">
          <cell r="C12">
            <v>30.898220062255859</v>
          </cell>
          <cell r="D12">
            <v>35.729835510253906</v>
          </cell>
        </row>
        <row r="14">
          <cell r="C14">
            <v>0.99221360683441162</v>
          </cell>
          <cell r="D14">
            <v>1.2908797264099121</v>
          </cell>
        </row>
        <row r="16">
          <cell r="C16">
            <v>9.9946765899658203</v>
          </cell>
          <cell r="D16">
            <v>12.949345588684082</v>
          </cell>
        </row>
        <row r="32">
          <cell r="C32">
            <v>97.40716552734375</v>
          </cell>
          <cell r="D32">
            <v>94.141212463378906</v>
          </cell>
        </row>
        <row r="34">
          <cell r="C34">
            <v>5.5943779945373535</v>
          </cell>
          <cell r="D34">
            <v>4.2193760871887207</v>
          </cell>
        </row>
        <row r="35">
          <cell r="C35">
            <v>7.2531371116638184</v>
          </cell>
          <cell r="D35">
            <v>5.6025586128234863</v>
          </cell>
        </row>
        <row r="36">
          <cell r="C36">
            <v>1.7248646020889282</v>
          </cell>
          <cell r="D36">
            <v>2.1475968360900879</v>
          </cell>
        </row>
        <row r="37">
          <cell r="C37">
            <v>1.4783287048339844</v>
          </cell>
          <cell r="D37">
            <v>1.5462040901184082</v>
          </cell>
        </row>
        <row r="38">
          <cell r="C38">
            <v>5.5251235961914063</v>
          </cell>
          <cell r="D38">
            <v>4.441704273223877</v>
          </cell>
        </row>
        <row r="39">
          <cell r="C39">
            <v>6.7599506378173828</v>
          </cell>
          <cell r="D39">
            <v>5.7410616874694824</v>
          </cell>
        </row>
        <row r="40">
          <cell r="C40">
            <v>3.5124111175537109</v>
          </cell>
          <cell r="D40">
            <v>3.1344654560089111</v>
          </cell>
        </row>
        <row r="41">
          <cell r="C41">
            <v>4.6715912818908691</v>
          </cell>
          <cell r="D41">
            <v>3.9370179176330566</v>
          </cell>
        </row>
        <row r="42">
          <cell r="C42">
            <v>42.494625091552734</v>
          </cell>
          <cell r="D42">
            <v>54.927539825439453</v>
          </cell>
        </row>
        <row r="43">
          <cell r="C43">
            <v>23.835685729980469</v>
          </cell>
          <cell r="D43">
            <v>23.430179595947266</v>
          </cell>
        </row>
        <row r="44">
          <cell r="C44">
            <v>29.364694595336914</v>
          </cell>
          <cell r="D44">
            <v>10.526711463928223</v>
          </cell>
        </row>
        <row r="46">
          <cell r="C46">
            <v>29.458766937255859</v>
          </cell>
          <cell r="D46">
            <v>10.545706748962402</v>
          </cell>
        </row>
        <row r="48">
          <cell r="C48">
            <v>26.248735427856445</v>
          </cell>
          <cell r="D48">
            <v>17.312015533447266</v>
          </cell>
        </row>
        <row r="50">
          <cell r="C50">
            <v>44.292495727539063</v>
          </cell>
          <cell r="D50">
            <v>72.142280578613281</v>
          </cell>
        </row>
      </sheetData>
      <sheetData sheetId="11"/>
      <sheetData sheetId="12">
        <row r="2">
          <cell r="C2">
            <v>100</v>
          </cell>
          <cell r="D2">
            <v>0</v>
          </cell>
        </row>
        <row r="6">
          <cell r="C6">
            <v>51.452823638916016</v>
          </cell>
          <cell r="D6">
            <v>54.395099639892578</v>
          </cell>
        </row>
        <row r="8">
          <cell r="C8">
            <v>96.812690734863281</v>
          </cell>
          <cell r="D8">
            <v>98.556388854980469</v>
          </cell>
        </row>
        <row r="10">
          <cell r="C10">
            <v>20.6617431640625</v>
          </cell>
          <cell r="D10">
            <v>53.527034759521484</v>
          </cell>
        </row>
        <row r="12">
          <cell r="C12">
            <v>68.167335510253906</v>
          </cell>
          <cell r="D12">
            <v>45.373584747314453</v>
          </cell>
        </row>
        <row r="14">
          <cell r="C14">
            <v>5.265073299407959</v>
          </cell>
          <cell r="D14">
            <v>0.5782933235168457</v>
          </cell>
        </row>
        <row r="16">
          <cell r="C16">
            <v>5.9058451652526855</v>
          </cell>
          <cell r="D16">
            <v>0.52109014987945557</v>
          </cell>
        </row>
        <row r="32">
          <cell r="C32">
            <v>88.875106811523438</v>
          </cell>
          <cell r="D32">
            <v>99.009223937988281</v>
          </cell>
        </row>
        <row r="34">
          <cell r="C34">
            <v>5.4186487197875977</v>
          </cell>
          <cell r="D34">
            <v>7.9622440338134766</v>
          </cell>
        </row>
        <row r="35">
          <cell r="C35">
            <v>9.2173738479614258</v>
          </cell>
          <cell r="D35">
            <v>10.119794845581055</v>
          </cell>
        </row>
        <row r="36">
          <cell r="C36">
            <v>1.8444139957427979</v>
          </cell>
          <cell r="D36">
            <v>1.7080570459365845</v>
          </cell>
        </row>
        <row r="37">
          <cell r="C37">
            <v>1.5332746505737305</v>
          </cell>
          <cell r="D37">
            <v>1.5184993743896484</v>
          </cell>
        </row>
        <row r="38">
          <cell r="C38">
            <v>7.103966236114502</v>
          </cell>
          <cell r="D38">
            <v>7.5763130187988281</v>
          </cell>
        </row>
        <row r="39">
          <cell r="C39">
            <v>9.9222640991210938</v>
          </cell>
          <cell r="D39">
            <v>9.2701272964477539</v>
          </cell>
        </row>
        <row r="40">
          <cell r="C40">
            <v>2.9632868766784668</v>
          </cell>
          <cell r="D40">
            <v>5.0483112335205078</v>
          </cell>
        </row>
        <row r="41">
          <cell r="C41">
            <v>5.3306937217712402</v>
          </cell>
          <cell r="D41">
            <v>6.9086995124816895</v>
          </cell>
        </row>
        <row r="42">
          <cell r="C42">
            <v>51.439212799072266</v>
          </cell>
          <cell r="D42">
            <v>47.686847686767578</v>
          </cell>
        </row>
        <row r="43">
          <cell r="C43">
            <v>23.694080352783203</v>
          </cell>
          <cell r="D43">
            <v>24.193614959716797</v>
          </cell>
        </row>
        <row r="44">
          <cell r="C44">
            <v>8.1024236679077148</v>
          </cell>
          <cell r="D44">
            <v>7.7369346618652344</v>
          </cell>
        </row>
        <row r="46">
          <cell r="C46">
            <v>8.1411027908325195</v>
          </cell>
          <cell r="D46">
            <v>7.847900390625</v>
          </cell>
        </row>
        <row r="48">
          <cell r="C48">
            <v>40.691642761230469</v>
          </cell>
          <cell r="D48">
            <v>9.9120817184448242</v>
          </cell>
        </row>
        <row r="50">
          <cell r="C50">
            <v>51.167255401611328</v>
          </cell>
          <cell r="D50">
            <v>82.240020751953125</v>
          </cell>
        </row>
      </sheetData>
      <sheetData sheetId="13">
        <row r="2">
          <cell r="C2">
            <v>47.570365905761719</v>
          </cell>
        </row>
        <row r="6">
          <cell r="C6">
            <v>52.995449066162109</v>
          </cell>
        </row>
        <row r="8">
          <cell r="C8">
            <v>97.726905822753906</v>
          </cell>
        </row>
        <row r="10">
          <cell r="C10">
            <v>37.892894744873047</v>
          </cell>
        </row>
        <row r="12">
          <cell r="C12">
            <v>56.216655731201172</v>
          </cell>
        </row>
        <row r="14">
          <cell r="C14">
            <v>2.8078117370605469</v>
          </cell>
        </row>
        <row r="16">
          <cell r="C16">
            <v>3.0826377868652344</v>
          </cell>
        </row>
        <row r="32">
          <cell r="C32">
            <v>95.352622985839844</v>
          </cell>
        </row>
        <row r="34">
          <cell r="C34">
            <v>7.1622796058654785</v>
          </cell>
        </row>
        <row r="35">
          <cell r="C35">
            <v>9.9151220321655273</v>
          </cell>
        </row>
        <row r="36">
          <cell r="C36">
            <v>1.8221417665481567</v>
          </cell>
        </row>
        <row r="37">
          <cell r="C37">
            <v>1.5313900709152222</v>
          </cell>
        </row>
        <row r="38">
          <cell r="C38">
            <v>7.4924135208129883</v>
          </cell>
        </row>
        <row r="39">
          <cell r="C39">
            <v>9.3904514312744141</v>
          </cell>
        </row>
        <row r="40">
          <cell r="C40">
            <v>4.3780331611633301</v>
          </cell>
        </row>
        <row r="41">
          <cell r="C41">
            <v>6.516690731048584</v>
          </cell>
        </row>
        <row r="42">
          <cell r="C42">
            <v>49.040603637695313</v>
          </cell>
        </row>
        <row r="43">
          <cell r="C43">
            <v>24.081314086914063</v>
          </cell>
        </row>
        <row r="44">
          <cell r="C44">
            <v>7.9109072685241699</v>
          </cell>
        </row>
        <row r="46">
          <cell r="C46">
            <v>7.9873776435852051</v>
          </cell>
        </row>
        <row r="48">
          <cell r="C48">
            <v>24.554031372070313</v>
          </cell>
        </row>
        <row r="50">
          <cell r="C50">
            <v>67.458587646484375</v>
          </cell>
        </row>
      </sheetData>
      <sheetData sheetId="14">
        <row r="2">
          <cell r="C2">
            <v>46.185657501220703</v>
          </cell>
          <cell r="D2">
            <v>49.131561279296875</v>
          </cell>
        </row>
        <row r="6">
          <cell r="C6">
            <v>100</v>
          </cell>
          <cell r="D6">
            <v>0</v>
          </cell>
        </row>
        <row r="8">
          <cell r="C8">
            <v>97.697257995605469</v>
          </cell>
          <cell r="D8">
            <v>97.760337829589844</v>
          </cell>
        </row>
        <row r="10">
          <cell r="C10">
            <v>48.486515045166016</v>
          </cell>
          <cell r="D10">
            <v>25.949077606201172</v>
          </cell>
        </row>
        <row r="12">
          <cell r="C12">
            <v>47.477863311767578</v>
          </cell>
          <cell r="D12">
            <v>66.069244384765625</v>
          </cell>
        </row>
        <row r="14">
          <cell r="C14">
            <v>1.8982503414154053</v>
          </cell>
          <cell r="D14">
            <v>3.8332998752593994</v>
          </cell>
        </row>
        <row r="16">
          <cell r="C16">
            <v>2.1373708248138428</v>
          </cell>
          <cell r="D16">
            <v>4.1483821868896484</v>
          </cell>
        </row>
        <row r="32">
          <cell r="C32">
            <v>97.829360961914063</v>
          </cell>
          <cell r="D32">
            <v>92.846107482910156</v>
          </cell>
        </row>
        <row r="34">
          <cell r="C34">
            <v>7.5405073165893555</v>
          </cell>
          <cell r="D34">
            <v>6.8101186752319336</v>
          </cell>
        </row>
        <row r="35">
          <cell r="C35">
            <v>10.148555755615234</v>
          </cell>
          <cell r="D35">
            <v>9.6801643371582031</v>
          </cell>
        </row>
        <row r="36">
          <cell r="C36">
            <v>1.8045101165771484</v>
          </cell>
          <cell r="D36">
            <v>1.8284156322479248</v>
          </cell>
        </row>
        <row r="37">
          <cell r="C37">
            <v>1.4854753017425537</v>
          </cell>
          <cell r="D37">
            <v>1.5478712320327759</v>
          </cell>
        </row>
        <row r="38">
          <cell r="C38">
            <v>7.4701671600341797</v>
          </cell>
          <cell r="D38">
            <v>7.5157556533813477</v>
          </cell>
        </row>
        <row r="39">
          <cell r="C39">
            <v>9.3613605499267578</v>
          </cell>
          <cell r="D39">
            <v>9.421757698059082</v>
          </cell>
        </row>
        <row r="40">
          <cell r="C40">
            <v>4.3272604942321777</v>
          </cell>
          <cell r="D40">
            <v>4.4286413192749023</v>
          </cell>
        </row>
        <row r="41">
          <cell r="C41">
            <v>6.6112971305847168</v>
          </cell>
          <cell r="D41">
            <v>6.4210176467895508</v>
          </cell>
        </row>
        <row r="42">
          <cell r="C42">
            <v>46.147373199462891</v>
          </cell>
          <cell r="D42">
            <v>51.967746734619141</v>
          </cell>
        </row>
        <row r="43">
          <cell r="C43">
            <v>23.802150726318359</v>
          </cell>
          <cell r="D43">
            <v>24.009662628173828</v>
          </cell>
        </row>
        <row r="44">
          <cell r="C44">
            <v>11.076574325561523</v>
          </cell>
          <cell r="D44">
            <v>4.3460140228271484</v>
          </cell>
        </row>
        <row r="46">
          <cell r="C46">
            <v>11.195786476135254</v>
          </cell>
          <cell r="D46">
            <v>4.3700456619262695</v>
          </cell>
        </row>
        <row r="48">
          <cell r="C48">
            <v>24.778169631958008</v>
          </cell>
          <cell r="D48">
            <v>24.301326751708984</v>
          </cell>
        </row>
        <row r="50">
          <cell r="C50">
            <v>64.026046752929688</v>
          </cell>
          <cell r="D50">
            <v>71.328628540039063</v>
          </cell>
        </row>
      </sheetData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B4F00-749B-4549-A23E-82E145AA2E42}">
  <dimension ref="B3:I36"/>
  <sheetViews>
    <sheetView topLeftCell="A7" workbookViewId="0">
      <selection activeCell="D6" sqref="D6"/>
    </sheetView>
  </sheetViews>
  <sheetFormatPr defaultRowHeight="14.4" x14ac:dyDescent="0.3"/>
  <cols>
    <col min="2" max="2" width="16.33203125" bestFit="1" customWidth="1"/>
    <col min="3" max="5" width="13.44140625" customWidth="1"/>
    <col min="6" max="6" width="14.88671875" bestFit="1" customWidth="1"/>
    <col min="7" max="7" width="12.44140625" bestFit="1" customWidth="1"/>
    <col min="8" max="8" width="10.21875" bestFit="1" customWidth="1"/>
    <col min="9" max="9" width="13.77734375" customWidth="1"/>
    <col min="10" max="10" width="14.21875" customWidth="1"/>
  </cols>
  <sheetData>
    <row r="3" spans="2:8" x14ac:dyDescent="0.3">
      <c r="B3" t="s">
        <v>57</v>
      </c>
      <c r="C3" t="s">
        <v>41</v>
      </c>
      <c r="D3" t="s">
        <v>40</v>
      </c>
      <c r="E3" t="s">
        <v>50</v>
      </c>
      <c r="F3" t="s">
        <v>48</v>
      </c>
      <c r="G3" t="s">
        <v>49</v>
      </c>
    </row>
    <row r="4" spans="2:8" x14ac:dyDescent="0.3">
      <c r="B4" s="5" t="s">
        <v>0</v>
      </c>
      <c r="C4" t="s">
        <v>42</v>
      </c>
      <c r="D4" t="s">
        <v>47</v>
      </c>
      <c r="E4" t="s">
        <v>51</v>
      </c>
      <c r="F4" s="26">
        <v>42736</v>
      </c>
      <c r="G4" s="27">
        <v>2.8E-3</v>
      </c>
    </row>
    <row r="5" spans="2:8" x14ac:dyDescent="0.3">
      <c r="B5" s="5" t="s">
        <v>21</v>
      </c>
      <c r="C5" t="s">
        <v>42</v>
      </c>
      <c r="D5" t="s">
        <v>69</v>
      </c>
      <c r="E5" t="s">
        <v>52</v>
      </c>
      <c r="F5" s="26">
        <v>44958</v>
      </c>
      <c r="G5" s="27">
        <f>$G$27</f>
        <v>1.6449999999999999E-2</v>
      </c>
    </row>
    <row r="6" spans="2:8" x14ac:dyDescent="0.3">
      <c r="B6" s="6" t="s">
        <v>2</v>
      </c>
      <c r="C6" t="s">
        <v>65</v>
      </c>
      <c r="D6">
        <v>2021</v>
      </c>
      <c r="E6" t="s">
        <v>52</v>
      </c>
      <c r="F6" s="26">
        <v>44348</v>
      </c>
      <c r="G6" s="27">
        <f>$I$31</f>
        <v>1.8033289452329001E-3</v>
      </c>
    </row>
    <row r="7" spans="2:8" x14ac:dyDescent="0.3">
      <c r="B7" s="5" t="s">
        <v>1</v>
      </c>
      <c r="C7" t="s">
        <v>65</v>
      </c>
      <c r="D7">
        <v>2021</v>
      </c>
      <c r="E7" t="s">
        <v>52</v>
      </c>
      <c r="F7" s="26">
        <v>44348</v>
      </c>
      <c r="G7">
        <f>+D35</f>
        <v>1.8159999999999999E-3</v>
      </c>
    </row>
    <row r="16" spans="2:8" x14ac:dyDescent="0.3">
      <c r="D16" s="30" t="s">
        <v>66</v>
      </c>
      <c r="E16">
        <v>361.28109999999998</v>
      </c>
      <c r="F16" t="s">
        <v>67</v>
      </c>
      <c r="G16">
        <v>1</v>
      </c>
      <c r="H16">
        <f>+G16/E16</f>
        <v>2.7679277991569445E-3</v>
      </c>
    </row>
    <row r="18" spans="2:9" x14ac:dyDescent="0.3">
      <c r="B18" t="s">
        <v>0</v>
      </c>
      <c r="C18" t="s">
        <v>43</v>
      </c>
      <c r="D18" t="s">
        <v>46</v>
      </c>
    </row>
    <row r="19" spans="2:9" x14ac:dyDescent="0.3">
      <c r="C19" t="s">
        <v>45</v>
      </c>
      <c r="D19">
        <v>1</v>
      </c>
      <c r="E19">
        <v>2</v>
      </c>
      <c r="F19">
        <v>3</v>
      </c>
      <c r="G19">
        <v>11</v>
      </c>
      <c r="H19">
        <v>12</v>
      </c>
      <c r="I19" t="s">
        <v>44</v>
      </c>
    </row>
    <row r="21" spans="2:9" x14ac:dyDescent="0.3">
      <c r="C21">
        <v>2016</v>
      </c>
      <c r="D21">
        <v>0</v>
      </c>
      <c r="E21">
        <v>0</v>
      </c>
      <c r="F21">
        <v>0</v>
      </c>
      <c r="G21">
        <v>317</v>
      </c>
      <c r="H21" s="25">
        <v>3906</v>
      </c>
      <c r="I21" s="25">
        <v>4223</v>
      </c>
    </row>
    <row r="22" spans="2:9" x14ac:dyDescent="0.3">
      <c r="C22">
        <v>2017</v>
      </c>
      <c r="D22" s="25">
        <v>10227</v>
      </c>
      <c r="E22" s="25">
        <v>7793</v>
      </c>
      <c r="F22" s="25">
        <v>10624</v>
      </c>
      <c r="G22">
        <v>0</v>
      </c>
      <c r="H22">
        <v>0</v>
      </c>
      <c r="I22" s="25">
        <v>28644</v>
      </c>
    </row>
    <row r="24" spans="2:9" x14ac:dyDescent="0.3">
      <c r="C24" t="s">
        <v>44</v>
      </c>
      <c r="D24" s="25">
        <v>10227</v>
      </c>
      <c r="E24" s="25">
        <v>7793</v>
      </c>
      <c r="F24" s="25">
        <v>10624</v>
      </c>
      <c r="G24">
        <v>317</v>
      </c>
      <c r="H24" s="25">
        <v>3906</v>
      </c>
      <c r="I24" s="25">
        <v>32867</v>
      </c>
    </row>
    <row r="26" spans="2:9" x14ac:dyDescent="0.3">
      <c r="B26" t="s">
        <v>21</v>
      </c>
      <c r="C26" t="s">
        <v>53</v>
      </c>
      <c r="G26" t="s">
        <v>56</v>
      </c>
    </row>
    <row r="27" spans="2:9" x14ac:dyDescent="0.3">
      <c r="B27" t="s">
        <v>54</v>
      </c>
      <c r="C27">
        <v>20230121</v>
      </c>
      <c r="D27" t="str">
        <f>+LEFT(C27,4)</f>
        <v>2023</v>
      </c>
      <c r="E27" t="str">
        <f>+MID(C27,5,2)</f>
        <v>01</v>
      </c>
      <c r="F27" t="str">
        <f>+MID(C27,7,2)</f>
        <v>21</v>
      </c>
      <c r="G27">
        <v>1.6449999999999999E-2</v>
      </c>
    </row>
    <row r="28" spans="2:9" x14ac:dyDescent="0.3">
      <c r="B28" t="s">
        <v>55</v>
      </c>
      <c r="C28">
        <v>20230209</v>
      </c>
      <c r="D28" t="str">
        <f>+LEFT(C28,4)</f>
        <v>2023</v>
      </c>
      <c r="E28" t="str">
        <f>+MID(C28,5,2)</f>
        <v>02</v>
      </c>
      <c r="F28" t="str">
        <f>+MID(C28,7,2)</f>
        <v>09</v>
      </c>
    </row>
    <row r="29" spans="2:9" x14ac:dyDescent="0.3">
      <c r="I29" t="s">
        <v>63</v>
      </c>
    </row>
    <row r="30" spans="2:9" x14ac:dyDescent="0.3">
      <c r="C30" t="s">
        <v>58</v>
      </c>
      <c r="G30" t="s">
        <v>61</v>
      </c>
      <c r="I30" t="s">
        <v>62</v>
      </c>
    </row>
    <row r="31" spans="2:9" x14ac:dyDescent="0.3">
      <c r="C31">
        <v>2021</v>
      </c>
      <c r="D31">
        <v>1.0179999999999999E-4</v>
      </c>
      <c r="F31">
        <f>1/D31</f>
        <v>9823.1827111984294</v>
      </c>
      <c r="G31" s="28">
        <v>554.53</v>
      </c>
      <c r="H31" s="28" t="s">
        <v>60</v>
      </c>
      <c r="I31" s="28">
        <f>1/G31</f>
        <v>1.8033289452329001E-3</v>
      </c>
    </row>
    <row r="32" spans="2:9" x14ac:dyDescent="0.3">
      <c r="F32" t="s">
        <v>68</v>
      </c>
    </row>
    <row r="34" spans="3:7" x14ac:dyDescent="0.3">
      <c r="C34" t="s">
        <v>59</v>
      </c>
    </row>
    <row r="35" spans="3:7" x14ac:dyDescent="0.3">
      <c r="C35">
        <v>2021</v>
      </c>
      <c r="D35" s="29">
        <v>1.8159999999999999E-3</v>
      </c>
      <c r="F35">
        <f>1/D35</f>
        <v>550.66079295154191</v>
      </c>
      <c r="G35" t="s">
        <v>64</v>
      </c>
    </row>
    <row r="36" spans="3:7" x14ac:dyDescent="0.3">
      <c r="F36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2F0D8-11D0-423D-965A-FFF4FE8D3FE8}">
  <dimension ref="A2:I35"/>
  <sheetViews>
    <sheetView workbookViewId="0">
      <selection activeCell="D3" sqref="D3:H28"/>
    </sheetView>
  </sheetViews>
  <sheetFormatPr defaultRowHeight="14.4" x14ac:dyDescent="0.3"/>
  <cols>
    <col min="4" max="4" width="20.77734375" bestFit="1" customWidth="1"/>
    <col min="5" max="8" width="14.6640625" customWidth="1"/>
  </cols>
  <sheetData>
    <row r="2" spans="3:9" x14ac:dyDescent="0.3">
      <c r="C2" s="1"/>
      <c r="D2" s="2"/>
      <c r="E2" s="2"/>
      <c r="F2" s="2"/>
      <c r="G2" s="2"/>
      <c r="H2" s="2"/>
      <c r="I2" s="1"/>
    </row>
    <row r="3" spans="3:9" x14ac:dyDescent="0.3">
      <c r="C3" s="1"/>
      <c r="D3" s="4"/>
      <c r="E3" s="6" t="s">
        <v>2</v>
      </c>
      <c r="F3" s="5" t="s">
        <v>0</v>
      </c>
      <c r="G3" s="5" t="s">
        <v>1</v>
      </c>
      <c r="H3" s="5" t="s">
        <v>21</v>
      </c>
      <c r="I3" s="1"/>
    </row>
    <row r="4" spans="3:9" x14ac:dyDescent="0.3">
      <c r="C4" s="1"/>
      <c r="D4" s="2" t="s">
        <v>3</v>
      </c>
      <c r="E4" s="18">
        <f>'[1]GNB Total'!$C$2</f>
        <v>47.570365905761719</v>
      </c>
      <c r="F4" s="9">
        <f>'[1]MRT Total'!$C$2</f>
        <v>55.540519714355469</v>
      </c>
      <c r="G4" s="18">
        <f>'[1]SEN Total'!$C$2</f>
        <v>52.108852386474609</v>
      </c>
      <c r="H4" s="9">
        <f>'[1]GMB Total'!$C$2</f>
        <v>62.068386077880859</v>
      </c>
      <c r="I4" s="1"/>
    </row>
    <row r="5" spans="3:9" x14ac:dyDescent="0.3">
      <c r="C5" s="1"/>
      <c r="D5" s="2" t="s">
        <v>4</v>
      </c>
      <c r="E5" s="18">
        <f>'[1]GNB Total'!$C$6</f>
        <v>52.995449066162109</v>
      </c>
      <c r="F5" s="9">
        <f>'[1]MRT Total'!$C$6</f>
        <v>57.856922149658203</v>
      </c>
      <c r="G5" s="18">
        <f>'[1]SEN Total'!$C$6</f>
        <v>56.924671173095703</v>
      </c>
      <c r="H5" s="9">
        <f>'[1]GMB Total'!$C$6</f>
        <v>51.725635528564453</v>
      </c>
      <c r="I5" s="1"/>
    </row>
    <row r="6" spans="3:9" x14ac:dyDescent="0.3">
      <c r="C6" s="1"/>
      <c r="D6" s="3" t="s">
        <v>5</v>
      </c>
      <c r="E6" s="19">
        <f>'[1]GNB Total'!$C$8</f>
        <v>97.726905822753906</v>
      </c>
      <c r="F6" s="10">
        <f>'[1]MRT Total'!$C$8</f>
        <v>98.265327453613281</v>
      </c>
      <c r="G6" s="19">
        <f>'[1]SEN Total'!$C$8</f>
        <v>99.443428039550781</v>
      </c>
      <c r="H6" s="10">
        <f>'[1]GMB Total'!$C$8</f>
        <v>93.987815856933594</v>
      </c>
      <c r="I6" s="1"/>
    </row>
    <row r="7" spans="3:9" x14ac:dyDescent="0.3">
      <c r="C7" s="1"/>
      <c r="D7" s="2" t="s">
        <v>6</v>
      </c>
      <c r="E7" s="18">
        <f>'[1]GNB Total'!$C$10</f>
        <v>37.892894744873047</v>
      </c>
      <c r="F7" s="9">
        <f>'[1]MRT Total'!$C$10</f>
        <v>46.166690826416016</v>
      </c>
      <c r="G7" s="18">
        <f>'[1]SEN Total'!$C$10</f>
        <v>54.632270812988281</v>
      </c>
      <c r="H7" s="9">
        <f>'[1]GMB Total'!$C$10</f>
        <v>37.856353759765625</v>
      </c>
      <c r="I7" s="1"/>
    </row>
    <row r="8" spans="3:9" x14ac:dyDescent="0.3">
      <c r="C8" s="1"/>
      <c r="D8" s="2" t="s">
        <v>7</v>
      </c>
      <c r="E8" s="18">
        <f>'[1]GNB Total'!$C$12</f>
        <v>56.216655731201172</v>
      </c>
      <c r="F8" s="9">
        <f>'[1]MRT Total'!$C$12</f>
        <v>46.722789764404297</v>
      </c>
      <c r="G8" s="18">
        <f>'[1]SEN Total'!$C$12</f>
        <v>32.979454040527344</v>
      </c>
      <c r="H8" s="9">
        <f>'[1]GMB Total'!$C$12</f>
        <v>28.116083145141602</v>
      </c>
      <c r="I8" s="1"/>
    </row>
    <row r="9" spans="3:9" x14ac:dyDescent="0.3">
      <c r="C9" s="1"/>
      <c r="D9" s="2" t="s">
        <v>8</v>
      </c>
      <c r="E9" s="18">
        <f>'[1]GNB Total'!$C$14</f>
        <v>2.8078117370605469</v>
      </c>
      <c r="F9" s="9">
        <f>'[1]MRT Total'!$C$14</f>
        <v>2.8685996532440186</v>
      </c>
      <c r="G9" s="18">
        <f>'[1]SEN Total'!$C$14</f>
        <v>1.1208649873733521</v>
      </c>
      <c r="H9" s="9">
        <f>'[1]GMB Total'!$C$14</f>
        <v>25.215688705444336</v>
      </c>
      <c r="I9" s="1"/>
    </row>
    <row r="10" spans="3:9" x14ac:dyDescent="0.3">
      <c r="C10" s="1"/>
      <c r="D10" s="3" t="s">
        <v>9</v>
      </c>
      <c r="E10" s="19">
        <f>'[1]GNB Total'!$C$16</f>
        <v>3.0826377868652344</v>
      </c>
      <c r="F10" s="10">
        <f>'[1]MRT Total'!$C$16</f>
        <v>4.2419195175170898</v>
      </c>
      <c r="G10" s="19">
        <f>'[1]SEN Total'!$C$16</f>
        <v>11.267410278320313</v>
      </c>
      <c r="H10" s="10">
        <f>'[1]GMB Total'!$C$16</f>
        <v>8.8118724822998047</v>
      </c>
      <c r="I10" s="1"/>
    </row>
    <row r="11" spans="3:9" x14ac:dyDescent="0.3">
      <c r="C11" s="1"/>
      <c r="D11" s="12" t="s">
        <v>10</v>
      </c>
      <c r="E11" s="9">
        <f>'[1]GNB Total'!$C$32</f>
        <v>95.352622985839844</v>
      </c>
      <c r="F11" s="9">
        <f>'[1]MRT Total'!$C$18</f>
        <v>95.65570068359375</v>
      </c>
      <c r="G11" s="9">
        <f>'[1]SEN Total'!$C$32</f>
        <v>95.544059753417969</v>
      </c>
      <c r="H11" s="9">
        <f>'[1]GMB Total'!$C$18</f>
        <v>20.607244491577148</v>
      </c>
      <c r="I11" s="1"/>
    </row>
    <row r="12" spans="3:9" x14ac:dyDescent="0.3">
      <c r="C12" s="1"/>
      <c r="D12" s="2" t="s">
        <v>11</v>
      </c>
      <c r="E12" s="18">
        <f>'[1]GNB Total'!C34</f>
        <v>7.1622796058654785</v>
      </c>
      <c r="F12" s="9">
        <f>'[1]MRT Total'!C20</f>
        <v>5.467625617980957</v>
      </c>
      <c r="G12" s="18">
        <f>'[1]SEN Total'!C34</f>
        <v>4.858881950378418</v>
      </c>
      <c r="H12" s="9">
        <f>'[1]GMB Total'!C20</f>
        <v>2.4664628505706787</v>
      </c>
      <c r="I12" s="1"/>
    </row>
    <row r="13" spans="3:9" x14ac:dyDescent="0.3">
      <c r="C13" s="1"/>
      <c r="D13" s="2"/>
      <c r="E13" s="18">
        <f>'[1]GNB Total'!C35</f>
        <v>9.9151220321655273</v>
      </c>
      <c r="F13" s="9">
        <f>'[1]MRT Total'!C21</f>
        <v>14.537367820739746</v>
      </c>
      <c r="G13" s="18">
        <f>'[1]SEN Total'!C35</f>
        <v>6.4595041275024414</v>
      </c>
      <c r="H13" s="9">
        <f>'[1]GMB Total'!C21</f>
        <v>6.5626683235168457</v>
      </c>
      <c r="I13" s="1"/>
    </row>
    <row r="14" spans="3:9" x14ac:dyDescent="0.3">
      <c r="C14" s="1"/>
      <c r="D14" s="2" t="s">
        <v>12</v>
      </c>
      <c r="E14" s="18">
        <f>'[1]GNB Total'!C36</f>
        <v>1.8221417665481567</v>
      </c>
      <c r="F14" s="9">
        <f>'[1]MRT Total'!C22</f>
        <v>40.483688354492188</v>
      </c>
      <c r="G14" s="18">
        <f>'[1]SEN Total'!C36</f>
        <v>2.0033116340637207</v>
      </c>
      <c r="H14" s="9">
        <f>'[1]GMB Total'!C22</f>
        <v>18.344079971313477</v>
      </c>
      <c r="I14" s="1"/>
    </row>
    <row r="15" spans="3:9" x14ac:dyDescent="0.3">
      <c r="C15" s="1"/>
      <c r="D15" s="2"/>
      <c r="E15" s="18">
        <f>'[1]GNB Total'!C37</f>
        <v>1.5313900709152222</v>
      </c>
      <c r="F15" s="9">
        <f>'[1]MRT Total'!C23</f>
        <v>97.116973876953125</v>
      </c>
      <c r="G15" s="18">
        <f>'[1]SEN Total'!C37</f>
        <v>1.5362949371337891</v>
      </c>
      <c r="H15" s="9">
        <f>'[1]GMB Total'!C23</f>
        <v>37.393032073974609</v>
      </c>
      <c r="I15" s="1"/>
    </row>
    <row r="16" spans="3:9" x14ac:dyDescent="0.3">
      <c r="C16" s="1"/>
      <c r="D16" s="2" t="s">
        <v>13</v>
      </c>
      <c r="E16" s="18">
        <f>'[1]GNB Total'!C38</f>
        <v>7.4924135208129883</v>
      </c>
      <c r="F16" s="9">
        <f>'[1]MRT Total'!C24</f>
        <v>20.396570205688477</v>
      </c>
      <c r="G16" s="18">
        <f>'[1]SEN Total'!C38</f>
        <v>4.9335942268371582</v>
      </c>
      <c r="H16" s="9">
        <f>'[1]GMB Total'!C24</f>
        <v>9.3139781951904297</v>
      </c>
      <c r="I16" s="1"/>
    </row>
    <row r="17" spans="1:9" x14ac:dyDescent="0.3">
      <c r="C17" s="1"/>
      <c r="D17" s="2"/>
      <c r="E17" s="18">
        <f>'[1]GNB Total'!C39</f>
        <v>9.3904514312744141</v>
      </c>
      <c r="F17" s="9">
        <f>'[1]MRT Total'!C25</f>
        <v>46.133895874023438</v>
      </c>
      <c r="G17" s="18">
        <f>'[1]SEN Total'!C39</f>
        <v>6.2473516464233398</v>
      </c>
      <c r="H17" s="9">
        <f>'[1]GMB Total'!C25</f>
        <v>20.584333419799805</v>
      </c>
      <c r="I17" s="1"/>
    </row>
    <row r="18" spans="1:9" x14ac:dyDescent="0.3">
      <c r="C18" s="1"/>
      <c r="D18" s="2" t="s">
        <v>14</v>
      </c>
      <c r="E18" s="18">
        <f>'[1]GNB Total'!C40</f>
        <v>4.3780331611633301</v>
      </c>
      <c r="F18" s="9">
        <f>'[1]MRT Total'!C26</f>
        <v>30.044946670532227</v>
      </c>
      <c r="G18" s="18">
        <f>'[1]SEN Total'!C40</f>
        <v>3.2940964698791504</v>
      </c>
      <c r="H18" s="9">
        <f>'[1]GMB Total'!C26</f>
        <v>12.48069953918457</v>
      </c>
      <c r="I18" s="1"/>
    </row>
    <row r="19" spans="1:9" x14ac:dyDescent="0.3">
      <c r="C19" s="1"/>
      <c r="D19" s="2"/>
      <c r="E19" s="18">
        <f>'[1]GNB Total'!C41</f>
        <v>6.516690731048584</v>
      </c>
      <c r="F19" s="9">
        <f>'[1]MRT Total'!C27</f>
        <v>73.565704345703125</v>
      </c>
      <c r="G19" s="18">
        <f>'[1]SEN Total'!C41</f>
        <v>4.2666783332824707</v>
      </c>
      <c r="H19" s="9">
        <f>'[1]GMB Total'!C27</f>
        <v>27.998918533325195</v>
      </c>
      <c r="I19" s="1"/>
    </row>
    <row r="20" spans="1:9" x14ac:dyDescent="0.3">
      <c r="C20" s="1"/>
      <c r="D20" s="2" t="s">
        <v>15</v>
      </c>
      <c r="E20" s="18">
        <f>'[1]GNB Total'!C42</f>
        <v>49.040603637695313</v>
      </c>
      <c r="F20" s="9">
        <f>'[1]MRT Total'!C28</f>
        <v>53.629589080810547</v>
      </c>
      <c r="G20" s="18">
        <f>'[1]SEN Total'!C42</f>
        <v>49.597610473632813</v>
      </c>
      <c r="H20" s="9">
        <f>'[1]GMB Total'!C34</f>
        <v>45.332901000976563</v>
      </c>
      <c r="I20" s="1"/>
    </row>
    <row r="21" spans="1:9" x14ac:dyDescent="0.3">
      <c r="C21" s="1"/>
      <c r="D21" s="3"/>
      <c r="E21" s="19">
        <f>'[1]GNB Total'!C43</f>
        <v>24.081314086914063</v>
      </c>
      <c r="F21" s="10">
        <f>'[1]MRT Total'!C29</f>
        <v>22.137632369995117</v>
      </c>
      <c r="G21" s="19">
        <f>'[1]SEN Total'!C43</f>
        <v>24.393001556396484</v>
      </c>
      <c r="H21" s="10">
        <f>'[1]GMB Total'!C35</f>
        <v>25.180662155151367</v>
      </c>
      <c r="I21" s="1"/>
    </row>
    <row r="22" spans="1:9" x14ac:dyDescent="0.3">
      <c r="A22" t="s">
        <v>29</v>
      </c>
      <c r="B22" t="s">
        <v>29</v>
      </c>
      <c r="C22" s="1"/>
      <c r="D22" s="2" t="s">
        <v>16</v>
      </c>
      <c r="E22" s="18">
        <f>'[1]GNB Total'!$C$44</f>
        <v>7.9109072685241699</v>
      </c>
      <c r="F22" s="9">
        <f>'[1]MRT Total'!$C$30</f>
        <v>43.056407928466797</v>
      </c>
      <c r="G22" s="18">
        <f>'[1]SEN Total'!$C$44</f>
        <v>21.256288528442383</v>
      </c>
      <c r="H22" s="9">
        <f>'[1]GMB Total'!$C$36</f>
        <v>36.575267791748047</v>
      </c>
      <c r="I22" s="1"/>
    </row>
    <row r="23" spans="1:9" x14ac:dyDescent="0.3">
      <c r="A23" t="s">
        <v>24</v>
      </c>
      <c r="B23" t="s">
        <v>24</v>
      </c>
      <c r="C23" s="1"/>
      <c r="D23" s="2" t="s">
        <v>23</v>
      </c>
      <c r="E23" s="18">
        <f>'[1]GNB Total'!$C$46</f>
        <v>7.9873776435852051</v>
      </c>
      <c r="F23" s="9">
        <f>'[1]MRT Total'!$C$36</f>
        <v>20.398626327514648</v>
      </c>
      <c r="G23" s="18">
        <f>'[1]SEN Total'!$C$46</f>
        <v>21.311904907226563</v>
      </c>
      <c r="H23" s="9">
        <f>'[1]GMB Total'!$C$42</f>
        <v>20.665803909301758</v>
      </c>
      <c r="I23" s="1"/>
    </row>
    <row r="24" spans="1:9" x14ac:dyDescent="0.3">
      <c r="A24" t="s">
        <v>25</v>
      </c>
      <c r="B24" t="s">
        <v>25</v>
      </c>
      <c r="C24" s="1"/>
      <c r="D24" s="2" t="s">
        <v>19</v>
      </c>
      <c r="E24" s="18">
        <f>'[1]GNB Total'!$C$48</f>
        <v>24.554031372070313</v>
      </c>
      <c r="F24" s="9">
        <f>'[1]MRT Total'!$C$38</f>
        <v>18.482379913330078</v>
      </c>
      <c r="G24" s="18">
        <f>'[1]SEN Total'!$C$48</f>
        <v>22.399213790893555</v>
      </c>
      <c r="H24" s="9">
        <f>'[1]GMB Total'!$C$52</f>
        <v>18.617410659790039</v>
      </c>
      <c r="I24" s="1"/>
    </row>
    <row r="25" spans="1:9" x14ac:dyDescent="0.3">
      <c r="A25" t="s">
        <v>26</v>
      </c>
      <c r="B25" t="s">
        <v>26</v>
      </c>
      <c r="C25" s="1"/>
      <c r="D25" s="1" t="s">
        <v>20</v>
      </c>
      <c r="E25" s="7"/>
      <c r="F25" s="9">
        <f>'[1]MRT Total'!$C$40</f>
        <v>20.592472076416016</v>
      </c>
      <c r="G25" s="7"/>
      <c r="H25" s="9">
        <f>'[1]GMB Total'!$C$46</f>
        <v>5.4425616264343262</v>
      </c>
      <c r="I25" s="1"/>
    </row>
    <row r="26" spans="1:9" x14ac:dyDescent="0.3">
      <c r="A26" t="s">
        <v>27</v>
      </c>
      <c r="B26" t="s">
        <v>27</v>
      </c>
      <c r="C26" s="1"/>
      <c r="D26" s="2" t="s">
        <v>30</v>
      </c>
      <c r="E26" s="7"/>
      <c r="F26" s="9"/>
      <c r="G26" s="7"/>
      <c r="H26" s="9">
        <f>+SUM('[1]GMB Total'!$C$54,'[1]GMB Total'!$C$56,'[1]GMB Total'!$C$58,'[1]GMB Total'!$C$60,'[1]GMB Total'!$C$62,'[1]GMB Total'!$C$64,'[1]GMB Total'!$C$66,'[1]GMB Total'!$C$44)</f>
        <v>7.8563646227121353</v>
      </c>
      <c r="I26" s="1"/>
    </row>
    <row r="27" spans="1:9" x14ac:dyDescent="0.3">
      <c r="A27" t="s">
        <v>28</v>
      </c>
      <c r="B27" t="s">
        <v>28</v>
      </c>
      <c r="C27" s="1"/>
      <c r="D27" s="2" t="s">
        <v>17</v>
      </c>
      <c r="E27" s="18">
        <f>'[1]GNB Total'!$C$50</f>
        <v>67.458587646484375</v>
      </c>
      <c r="F27" s="9">
        <f>'[1]MRT Total'!$C$42</f>
        <v>38.055099487304688</v>
      </c>
      <c r="G27" s="18">
        <f>'[1]SEN Total'!$C$50</f>
        <v>56.288883209228516</v>
      </c>
      <c r="H27" s="9">
        <f>+'[1]GMB Total'!$C$48</f>
        <v>44.030689239501953</v>
      </c>
      <c r="I27" s="1"/>
    </row>
    <row r="28" spans="1:9" x14ac:dyDescent="0.3">
      <c r="C28" s="1"/>
      <c r="D28" s="11" t="s">
        <v>18</v>
      </c>
      <c r="E28" s="8"/>
      <c r="F28" s="10">
        <f>'[1]MRT Total'!$C$44</f>
        <v>2.4714217185974121</v>
      </c>
      <c r="G28" s="8"/>
      <c r="H28" s="10">
        <f>'[1]GMB Total'!$C$50</f>
        <v>3.3871705532073975</v>
      </c>
      <c r="I28" s="1"/>
    </row>
    <row r="29" spans="1:9" x14ac:dyDescent="0.3">
      <c r="C29" s="1"/>
      <c r="D29" s="2" t="s">
        <v>22</v>
      </c>
      <c r="E29" s="2"/>
      <c r="F29" s="2"/>
      <c r="G29" s="2"/>
      <c r="H29" s="2"/>
      <c r="I29" s="1"/>
    </row>
    <row r="30" spans="1:9" x14ac:dyDescent="0.3">
      <c r="C30" s="1"/>
      <c r="D30" s="2"/>
      <c r="E30" s="2"/>
      <c r="F30" s="2"/>
      <c r="G30" s="2"/>
      <c r="H30" s="2"/>
      <c r="I30" s="1"/>
    </row>
    <row r="33" spans="4:9" x14ac:dyDescent="0.3">
      <c r="D33" s="15"/>
    </row>
    <row r="34" spans="4:9" x14ac:dyDescent="0.3">
      <c r="D34" s="15"/>
      <c r="E34" s="13">
        <f>+SUM(E23:E28)</f>
        <v>99.999996662139893</v>
      </c>
      <c r="F34" s="13">
        <f>+SUM(F23:F28)</f>
        <v>99.999999523162842</v>
      </c>
      <c r="G34" s="13">
        <f>+SUM(G23:G28)</f>
        <v>100.00000190734863</v>
      </c>
      <c r="H34" s="13">
        <f>+SUM(H23:H28)</f>
        <v>100.00000061094761</v>
      </c>
      <c r="I34" s="14"/>
    </row>
    <row r="35" spans="4:9" x14ac:dyDescent="0.3">
      <c r="F35" s="14"/>
      <c r="G35" s="14"/>
      <c r="H35" s="14"/>
      <c r="I35" s="1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76FE5-03CA-4EC8-9ED9-C88E034E2E8B}">
  <dimension ref="C3:M34"/>
  <sheetViews>
    <sheetView workbookViewId="0">
      <selection activeCell="D4" sqref="D4:H30"/>
    </sheetView>
  </sheetViews>
  <sheetFormatPr defaultRowHeight="14.4" x14ac:dyDescent="0.3"/>
  <cols>
    <col min="4" max="4" width="20.77734375" bestFit="1" customWidth="1"/>
  </cols>
  <sheetData>
    <row r="3" spans="3:13" x14ac:dyDescent="0.3"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3:13" x14ac:dyDescent="0.3">
      <c r="C4" s="1"/>
      <c r="D4" s="16"/>
      <c r="E4" s="32" t="s">
        <v>37</v>
      </c>
      <c r="F4" s="33"/>
      <c r="G4" s="33" t="s">
        <v>31</v>
      </c>
      <c r="H4" s="33"/>
      <c r="I4" s="17"/>
      <c r="J4" s="17"/>
      <c r="K4" s="33" t="s">
        <v>38</v>
      </c>
      <c r="L4" s="33"/>
      <c r="M4" s="1"/>
    </row>
    <row r="5" spans="3:13" x14ac:dyDescent="0.3">
      <c r="C5" s="1"/>
      <c r="D5" s="16"/>
      <c r="E5" s="6" t="s">
        <v>33</v>
      </c>
      <c r="F5" s="16" t="s">
        <v>34</v>
      </c>
      <c r="G5" s="16" t="s">
        <v>35</v>
      </c>
      <c r="H5" s="16" t="s">
        <v>36</v>
      </c>
      <c r="I5" s="16"/>
      <c r="J5" s="16"/>
      <c r="K5" s="16" t="s">
        <v>32</v>
      </c>
      <c r="L5" s="16" t="s">
        <v>39</v>
      </c>
      <c r="M5" s="1"/>
    </row>
    <row r="6" spans="3:13" x14ac:dyDescent="0.3">
      <c r="C6" s="1"/>
      <c r="D6" s="2" t="s">
        <v>3</v>
      </c>
      <c r="E6" s="18">
        <f>'[1]GNB By female'!$C$2</f>
        <v>46.185657501220703</v>
      </c>
      <c r="F6" s="9">
        <f>'[1]GNB By female'!$D$2</f>
        <v>49.131561279296875</v>
      </c>
      <c r="G6" s="9">
        <f>'[1]GNB By urban'!$C$2</f>
        <v>100</v>
      </c>
      <c r="H6" s="9">
        <f>'[1]GNB By urban'!$D$2</f>
        <v>0</v>
      </c>
      <c r="I6" s="9"/>
      <c r="J6" s="9"/>
      <c r="K6" s="9">
        <f>'[1]GMB By born_here'!$C$2</f>
        <v>61.085651397705078</v>
      </c>
      <c r="L6" s="9">
        <f>'[1]GMB By born_here'!$D$2</f>
        <v>77.431350708007813</v>
      </c>
      <c r="M6" s="1"/>
    </row>
    <row r="7" spans="3:13" x14ac:dyDescent="0.3">
      <c r="C7" s="1"/>
      <c r="D7" s="2" t="s">
        <v>4</v>
      </c>
      <c r="E7" s="18">
        <f>'[1]GNB By female'!$C$6</f>
        <v>100</v>
      </c>
      <c r="F7" s="9">
        <f>'[1]GNB By female'!$D$6</f>
        <v>0</v>
      </c>
      <c r="G7" s="9">
        <f>'[1]GNB By urban'!$C$6</f>
        <v>51.452823638916016</v>
      </c>
      <c r="H7" s="9">
        <f>'[1]GNB By urban'!$D$6</f>
        <v>54.395099639892578</v>
      </c>
      <c r="I7" s="9"/>
      <c r="J7" s="9"/>
      <c r="K7" s="9">
        <f>'[1]GMB By born_here'!$C$6</f>
        <v>52.1495361328125</v>
      </c>
      <c r="L7" s="9">
        <f>'[1]GMB By born_here'!$D$6</f>
        <v>45.098834991455078</v>
      </c>
      <c r="M7" s="1"/>
    </row>
    <row r="8" spans="3:13" x14ac:dyDescent="0.3">
      <c r="C8" s="1"/>
      <c r="D8" s="3" t="s">
        <v>5</v>
      </c>
      <c r="E8" s="19">
        <f>'[1]GNB By female'!$C$8</f>
        <v>97.697257995605469</v>
      </c>
      <c r="F8" s="10">
        <f>'[1]GNB By female'!$D$8</f>
        <v>97.760337829589844</v>
      </c>
      <c r="G8" s="10">
        <f>'[1]GNB By urban'!$C$8</f>
        <v>96.812690734863281</v>
      </c>
      <c r="H8" s="10">
        <f>'[1]GNB By urban'!$D$8</f>
        <v>98.556388854980469</v>
      </c>
      <c r="I8" s="10"/>
      <c r="J8" s="10"/>
      <c r="K8" s="10">
        <f>'[1]GMB By born_here'!$C$8</f>
        <v>100</v>
      </c>
      <c r="L8" s="10">
        <f>'[1]GMB By born_here'!$D$8</f>
        <v>0</v>
      </c>
      <c r="M8" s="1"/>
    </row>
    <row r="9" spans="3:13" x14ac:dyDescent="0.3">
      <c r="C9" s="1"/>
      <c r="D9" s="2" t="s">
        <v>6</v>
      </c>
      <c r="E9" s="18">
        <f>'[1]GNB By female'!$C$10</f>
        <v>48.486515045166016</v>
      </c>
      <c r="F9" s="9">
        <f>'[1]GNB By female'!$D$10</f>
        <v>25.949077606201172</v>
      </c>
      <c r="G9" s="9">
        <f>'[1]GNB By urban'!$C$10</f>
        <v>20.6617431640625</v>
      </c>
      <c r="H9" s="9">
        <f>'[1]GNB By urban'!$D$10</f>
        <v>53.527034759521484</v>
      </c>
      <c r="I9" s="9"/>
      <c r="J9" s="9"/>
      <c r="K9" s="9">
        <f>'[1]GMB By born_here'!$C$10</f>
        <v>36.693206787109375</v>
      </c>
      <c r="L9" s="9">
        <f>'[1]GMB By born_here'!$D$10</f>
        <v>55.067588806152344</v>
      </c>
      <c r="M9" s="1"/>
    </row>
    <row r="10" spans="3:13" x14ac:dyDescent="0.3">
      <c r="C10" s="1"/>
      <c r="D10" s="2" t="s">
        <v>7</v>
      </c>
      <c r="E10" s="18">
        <f>'[1]GNB By female'!$C$12</f>
        <v>47.477863311767578</v>
      </c>
      <c r="F10" s="9">
        <f>'[1]GNB By female'!$D$12</f>
        <v>66.069244384765625</v>
      </c>
      <c r="G10" s="9">
        <f>'[1]GNB By urban'!$C$12</f>
        <v>68.167335510253906</v>
      </c>
      <c r="H10" s="9">
        <f>'[1]GNB By urban'!$D$12</f>
        <v>45.373584747314453</v>
      </c>
      <c r="I10" s="9"/>
      <c r="J10" s="9"/>
      <c r="K10" s="9">
        <f>'[1]GMB By born_here'!$C$12</f>
        <v>28.281024932861328</v>
      </c>
      <c r="L10" s="9">
        <f>'[1]GMB By born_here'!$D$12</f>
        <v>25.675424575805664</v>
      </c>
      <c r="M10" s="1"/>
    </row>
    <row r="11" spans="3:13" x14ac:dyDescent="0.3">
      <c r="C11" s="1"/>
      <c r="D11" s="2" t="s">
        <v>8</v>
      </c>
      <c r="E11" s="18">
        <f>'[1]GNB By female'!$C$14</f>
        <v>1.8982503414154053</v>
      </c>
      <c r="F11" s="9">
        <f>'[1]GNB By female'!$D$14</f>
        <v>3.8332998752593994</v>
      </c>
      <c r="G11" s="9">
        <f>'[1]GNB By urban'!$C$14</f>
        <v>5.265073299407959</v>
      </c>
      <c r="H11" s="9">
        <f>'[1]GNB By urban'!$D$14</f>
        <v>0.5782933235168457</v>
      </c>
      <c r="I11" s="9"/>
      <c r="J11" s="9"/>
      <c r="K11" s="9">
        <f>'[1]GMB By born_here'!$C$14</f>
        <v>25.993709564208984</v>
      </c>
      <c r="L11" s="9">
        <f>'[1]GMB By born_here'!$D$14</f>
        <v>13.703222274780273</v>
      </c>
      <c r="M11" s="1"/>
    </row>
    <row r="12" spans="3:13" x14ac:dyDescent="0.3">
      <c r="C12" s="1"/>
      <c r="D12" s="3" t="s">
        <v>9</v>
      </c>
      <c r="E12" s="19">
        <f>'[1]GNB By female'!$C$16</f>
        <v>2.1373708248138428</v>
      </c>
      <c r="F12" s="10">
        <f>'[1]GNB By female'!$D$16</f>
        <v>4.1483821868896484</v>
      </c>
      <c r="G12" s="10">
        <f>'[1]GNB By urban'!$C$16</f>
        <v>5.9058451652526855</v>
      </c>
      <c r="H12" s="10">
        <f>'[1]GNB By urban'!$D$16</f>
        <v>0.52109014987945557</v>
      </c>
      <c r="I12" s="10"/>
      <c r="J12" s="10"/>
      <c r="K12" s="10">
        <f>'[1]GMB By born_here'!$C$16</f>
        <v>9.0320577621459961</v>
      </c>
      <c r="L12" s="10">
        <f>'[1]GMB By born_here'!$D$16</f>
        <v>5.553764820098877</v>
      </c>
      <c r="M12" s="1"/>
    </row>
    <row r="13" spans="3:13" x14ac:dyDescent="0.3">
      <c r="C13" s="1"/>
      <c r="D13" s="20" t="s">
        <v>10</v>
      </c>
      <c r="E13" s="18">
        <f>'[1]GNB By female'!C32</f>
        <v>97.829360961914063</v>
      </c>
      <c r="F13" s="9">
        <f>'[1]GNB By female'!D32</f>
        <v>92.846107482910156</v>
      </c>
      <c r="G13" s="9">
        <f>'[1]GNB By urban'!$C$32</f>
        <v>88.875106811523438</v>
      </c>
      <c r="H13" s="9">
        <f>'[1]GNB By urban'!$D$32</f>
        <v>99.009223937988281</v>
      </c>
      <c r="I13" s="9"/>
      <c r="J13" s="9"/>
      <c r="K13" s="9">
        <f>'[1]GMB By born_here'!$C$18</f>
        <v>20.807659149169922</v>
      </c>
      <c r="L13" s="9">
        <f>'[1]GMB By born_here'!$D$18</f>
        <v>18.017013549804688</v>
      </c>
      <c r="M13" s="1"/>
    </row>
    <row r="14" spans="3:13" x14ac:dyDescent="0.3">
      <c r="C14" s="1"/>
      <c r="D14" s="2" t="s">
        <v>11</v>
      </c>
      <c r="E14" s="21">
        <f>'[1]GNB By female'!C34</f>
        <v>7.5405073165893555</v>
      </c>
      <c r="F14" s="22">
        <f>'[1]GNB By female'!D34</f>
        <v>6.8101186752319336</v>
      </c>
      <c r="G14" s="22">
        <f>'[1]GNB By urban'!$C$34</f>
        <v>5.4186487197875977</v>
      </c>
      <c r="H14" s="22">
        <f>'[1]GNB By urban'!$D$34</f>
        <v>7.9622440338134766</v>
      </c>
      <c r="I14" s="22"/>
      <c r="J14" s="22"/>
      <c r="K14" s="22">
        <f>'[1]GMB By born_here'!$C$20</f>
        <v>2.5234403610229492</v>
      </c>
      <c r="L14" s="22">
        <f>'[1]GMB By born_here'!$D$20</f>
        <v>1.7307655811309814</v>
      </c>
      <c r="M14" s="1"/>
    </row>
    <row r="15" spans="3:13" x14ac:dyDescent="0.3">
      <c r="C15" s="1"/>
      <c r="D15" s="2"/>
      <c r="E15" s="21">
        <f>'[1]GNB By female'!C35</f>
        <v>10.148555755615234</v>
      </c>
      <c r="F15" s="22">
        <f>'[1]GNB By female'!D35</f>
        <v>9.6801643371582031</v>
      </c>
      <c r="G15" s="22">
        <f>'[1]GNB By urban'!$C$35</f>
        <v>9.2173738479614258</v>
      </c>
      <c r="H15" s="22">
        <f>'[1]GNB By urban'!$D$35</f>
        <v>10.119794845581055</v>
      </c>
      <c r="I15" s="22"/>
      <c r="J15" s="22"/>
      <c r="K15" s="22">
        <f>'[1]GMB By born_here'!$C$21</f>
        <v>6.7532200813293457</v>
      </c>
      <c r="L15" s="22">
        <f>'[1]GMB By born_here'!$D$21</f>
        <v>3.1202833652496338</v>
      </c>
      <c r="M15" s="1"/>
    </row>
    <row r="16" spans="3:13" x14ac:dyDescent="0.3">
      <c r="C16" s="1"/>
      <c r="D16" s="2" t="s">
        <v>12</v>
      </c>
      <c r="E16" s="21">
        <f>'[1]GNB By female'!C36</f>
        <v>1.8045101165771484</v>
      </c>
      <c r="F16" s="22">
        <f>'[1]GNB By female'!D36</f>
        <v>1.8284156322479248</v>
      </c>
      <c r="G16" s="22">
        <f>'[1]GNB By urban'!$C$36</f>
        <v>1.8444139957427979</v>
      </c>
      <c r="H16" s="22">
        <f>'[1]GNB By urban'!$D$36</f>
        <v>1.7080570459365845</v>
      </c>
      <c r="I16" s="22"/>
      <c r="J16" s="22"/>
      <c r="K16" s="22">
        <f>'[1]GMB By born_here'!$C$22</f>
        <v>18.583242416381836</v>
      </c>
      <c r="L16" s="22">
        <f>'[1]GMB By born_here'!$D$22</f>
        <v>13.70589542388916</v>
      </c>
      <c r="M16" s="1"/>
    </row>
    <row r="17" spans="3:13" x14ac:dyDescent="0.3">
      <c r="C17" s="1"/>
      <c r="D17" s="2"/>
      <c r="E17" s="21">
        <f>'[1]GNB By female'!C37</f>
        <v>1.4854753017425537</v>
      </c>
      <c r="F17" s="22">
        <f>'[1]GNB By female'!D37</f>
        <v>1.5478712320327759</v>
      </c>
      <c r="G17" s="22">
        <f>'[1]GNB By urban'!$C$37</f>
        <v>1.5332746505737305</v>
      </c>
      <c r="H17" s="22">
        <f>'[1]GNB By urban'!$D$37</f>
        <v>1.5184993743896484</v>
      </c>
      <c r="I17" s="22"/>
      <c r="J17" s="22"/>
      <c r="K17" s="22">
        <f>'[1]GMB By born_here'!$C$23</f>
        <v>38.122848510742188</v>
      </c>
      <c r="L17" s="22">
        <f>'[1]GMB By born_here'!$D$23</f>
        <v>17.568988800048828</v>
      </c>
      <c r="M17" s="1"/>
    </row>
    <row r="18" spans="3:13" x14ac:dyDescent="0.3">
      <c r="C18" s="1"/>
      <c r="D18" s="2" t="s">
        <v>13</v>
      </c>
      <c r="E18" s="21">
        <f>'[1]GNB By female'!C38</f>
        <v>7.4701671600341797</v>
      </c>
      <c r="F18" s="22">
        <f>'[1]GNB By female'!D38</f>
        <v>7.5157556533813477</v>
      </c>
      <c r="G18" s="22">
        <f>'[1]GNB By urban'!$C$38</f>
        <v>7.103966236114502</v>
      </c>
      <c r="H18" s="22">
        <f>'[1]GNB By urban'!$D$38</f>
        <v>7.5763130187988281</v>
      </c>
      <c r="I18" s="22"/>
      <c r="J18" s="22"/>
      <c r="K18" s="22">
        <f>'[1]GMB By born_here'!$C$24</f>
        <v>9.2953805923461914</v>
      </c>
      <c r="L18" s="22">
        <f>'[1]GMB By born_here'!$D$24</f>
        <v>9.5161285400390625</v>
      </c>
      <c r="M18" s="1"/>
    </row>
    <row r="19" spans="3:13" x14ac:dyDescent="0.3">
      <c r="C19" s="1"/>
      <c r="D19" s="2"/>
      <c r="E19" s="21">
        <f>'[1]GNB By female'!C39</f>
        <v>9.3613605499267578</v>
      </c>
      <c r="F19" s="22">
        <f>'[1]GNB By female'!D39</f>
        <v>9.421757698059082</v>
      </c>
      <c r="G19" s="22">
        <f>'[1]GNB By urban'!$C$39</f>
        <v>9.9222640991210938</v>
      </c>
      <c r="H19" s="22">
        <f>'[1]GNB By urban'!$D$39</f>
        <v>9.2701272964477539</v>
      </c>
      <c r="I19" s="22"/>
      <c r="J19" s="22"/>
      <c r="K19" s="22">
        <f>'[1]GMB By born_here'!$C$25</f>
        <v>21.147186279296875</v>
      </c>
      <c r="L19" s="22">
        <f>'[1]GMB By born_here'!$D$25</f>
        <v>12.985525131225586</v>
      </c>
      <c r="M19" s="1"/>
    </row>
    <row r="20" spans="3:13" x14ac:dyDescent="0.3">
      <c r="C20" s="1"/>
      <c r="D20" s="2" t="s">
        <v>14</v>
      </c>
      <c r="E20" s="21">
        <f>'[1]GNB By female'!C40</f>
        <v>4.3272604942321777</v>
      </c>
      <c r="F20" s="22">
        <f>'[1]GNB By female'!D40</f>
        <v>4.4286413192749023</v>
      </c>
      <c r="G20" s="22">
        <f>'[1]GNB By urban'!$C$40</f>
        <v>2.9632868766784668</v>
      </c>
      <c r="H20" s="22">
        <f>'[1]GNB By urban'!$D$40</f>
        <v>5.0483112335205078</v>
      </c>
      <c r="I20" s="22"/>
      <c r="J20" s="22"/>
      <c r="K20" s="22">
        <f>'[1]GMB By born_here'!$C$26</f>
        <v>12.632736206054688</v>
      </c>
      <c r="L20" s="22">
        <f>'[1]GMB By born_here'!$D$26</f>
        <v>10.518177032470703</v>
      </c>
      <c r="M20" s="1"/>
    </row>
    <row r="21" spans="3:13" x14ac:dyDescent="0.3">
      <c r="C21" s="1"/>
      <c r="D21" s="2"/>
      <c r="E21" s="21">
        <f>'[1]GNB By female'!C41</f>
        <v>6.6112971305847168</v>
      </c>
      <c r="F21" s="22">
        <f>'[1]GNB By female'!D41</f>
        <v>6.4210176467895508</v>
      </c>
      <c r="G21" s="22">
        <f>'[1]GNB By urban'!$C$41</f>
        <v>5.3306937217712402</v>
      </c>
      <c r="H21" s="22">
        <f>'[1]GNB By urban'!$D$41</f>
        <v>6.9086995124816895</v>
      </c>
      <c r="I21" s="22"/>
      <c r="J21" s="22"/>
      <c r="K21" s="22">
        <f>'[1]GMB By born_here'!$C$27</f>
        <v>28.783523559570313</v>
      </c>
      <c r="L21" s="22">
        <f>'[1]GMB By born_here'!$D$27</f>
        <v>14.317037582397461</v>
      </c>
      <c r="M21" s="1"/>
    </row>
    <row r="22" spans="3:13" x14ac:dyDescent="0.3">
      <c r="C22" s="1"/>
      <c r="D22" s="2" t="s">
        <v>15</v>
      </c>
      <c r="E22" s="21">
        <f>'[1]GNB By female'!C42</f>
        <v>46.147373199462891</v>
      </c>
      <c r="F22" s="22">
        <f>'[1]GNB By female'!D42</f>
        <v>51.967746734619141</v>
      </c>
      <c r="G22" s="22">
        <f>'[1]GNB By urban'!$C$42</f>
        <v>51.439212799072266</v>
      </c>
      <c r="H22" s="22">
        <f>'[1]GNB By urban'!D$42</f>
        <v>47.686847686767578</v>
      </c>
      <c r="I22" s="22"/>
      <c r="J22" s="22"/>
      <c r="K22" s="22">
        <f>'[1]GMB By born_here'!$C$34</f>
        <v>44.713081359863281</v>
      </c>
      <c r="L22" s="22">
        <f>'[1]GMB By born_here'!$D$34</f>
        <v>53.333976745605469</v>
      </c>
      <c r="M22" s="1"/>
    </row>
    <row r="23" spans="3:13" x14ac:dyDescent="0.3">
      <c r="C23" s="1"/>
      <c r="D23" s="3"/>
      <c r="E23" s="23">
        <f>'[1]GNB By female'!C43</f>
        <v>23.802150726318359</v>
      </c>
      <c r="F23" s="24">
        <f>'[1]GNB By female'!D43</f>
        <v>24.009662628173828</v>
      </c>
      <c r="G23" s="24">
        <f>'[1]GNB By urban'!$C$43</f>
        <v>23.694080352783203</v>
      </c>
      <c r="H23" s="24">
        <f>'[1]GNB By urban'!D$43</f>
        <v>24.193614959716797</v>
      </c>
      <c r="I23" s="24"/>
      <c r="J23" s="24"/>
      <c r="K23" s="24">
        <f>'[1]GMB By born_here'!$C$35</f>
        <v>24.965017318725586</v>
      </c>
      <c r="L23" s="24">
        <f>'[1]GMB By born_here'!$D$35</f>
        <v>26.560512542724609</v>
      </c>
      <c r="M23" s="1"/>
    </row>
    <row r="24" spans="3:13" x14ac:dyDescent="0.3">
      <c r="C24" s="1"/>
      <c r="D24" s="2" t="s">
        <v>16</v>
      </c>
      <c r="E24" s="18">
        <f>'[1]GNB By female'!C44</f>
        <v>11.076574325561523</v>
      </c>
      <c r="F24" s="9">
        <f>'[1]GNB By female'!D44</f>
        <v>4.3460140228271484</v>
      </c>
      <c r="G24" s="9">
        <f>'[1]GNB By urban'!$C$44</f>
        <v>8.1024236679077148</v>
      </c>
      <c r="H24" s="9">
        <f>'[1]GNB By urban'!$D$44</f>
        <v>7.7369346618652344</v>
      </c>
      <c r="I24" s="9"/>
      <c r="J24" s="9"/>
      <c r="K24" s="9">
        <f>'[1]GMB By born_here'!$C$36</f>
        <v>36.243278503417969</v>
      </c>
      <c r="L24" s="9">
        <f>'[1]GMB By born_here'!$D$36</f>
        <v>41.765243530273438</v>
      </c>
      <c r="M24" s="1"/>
    </row>
    <row r="25" spans="3:13" x14ac:dyDescent="0.3">
      <c r="C25" s="1"/>
      <c r="D25" s="2" t="s">
        <v>23</v>
      </c>
      <c r="E25" s="18">
        <f>'[1]GNB By female'!C46</f>
        <v>11.195786476135254</v>
      </c>
      <c r="F25" s="9">
        <f>'[1]GNB By female'!D46</f>
        <v>4.3700456619262695</v>
      </c>
      <c r="G25" s="9">
        <f>'[1]GNB By urban'!$C$46</f>
        <v>8.1411027908325195</v>
      </c>
      <c r="H25" s="9">
        <f>'[1]GNB By urban'!$D$46</f>
        <v>7.847900390625</v>
      </c>
      <c r="I25" s="9"/>
      <c r="J25" s="9"/>
      <c r="K25" s="9">
        <f>'[1]GMB By born_here'!$C$42</f>
        <v>20.477895736694336</v>
      </c>
      <c r="L25" s="9">
        <f>'[1]GMB By born_here'!$D$42</f>
        <v>23.60334587097168</v>
      </c>
      <c r="M25" s="1"/>
    </row>
    <row r="26" spans="3:13" x14ac:dyDescent="0.3">
      <c r="C26" s="1"/>
      <c r="D26" s="2" t="s">
        <v>19</v>
      </c>
      <c r="E26" s="18">
        <f>'[1]GNB By female'!C48</f>
        <v>24.778169631958008</v>
      </c>
      <c r="F26" s="9">
        <f>'[1]GNB By female'!D48</f>
        <v>24.301326751708984</v>
      </c>
      <c r="G26" s="9">
        <f>'[1]GNB By urban'!$C$48</f>
        <v>40.691642761230469</v>
      </c>
      <c r="H26" s="9">
        <f>'[1]GNB By urban'!$D$48</f>
        <v>9.9120817184448242</v>
      </c>
      <c r="I26" s="9"/>
      <c r="J26" s="9"/>
      <c r="K26" s="9">
        <f>'[1]GMB By born_here'!$C$52</f>
        <v>19.352727890014648</v>
      </c>
      <c r="L26" s="9">
        <f>'[1]GMB By born_here'!$D$52</f>
        <v>7.1222681999206543</v>
      </c>
      <c r="M26" s="1"/>
    </row>
    <row r="27" spans="3:13" x14ac:dyDescent="0.3">
      <c r="C27" s="1"/>
      <c r="D27" s="1" t="s">
        <v>20</v>
      </c>
      <c r="E27" s="18"/>
      <c r="F27" s="9"/>
      <c r="G27" s="9"/>
      <c r="H27" s="9"/>
      <c r="I27" s="9"/>
      <c r="J27" s="9"/>
      <c r="K27" s="9">
        <f>'[1]GMB By born_here'!$C$46</f>
        <v>5.2198300361633301</v>
      </c>
      <c r="L27" s="9">
        <f>'[1]GMB By born_here'!$D$46</f>
        <v>8.9244976043701172</v>
      </c>
      <c r="M27" s="1"/>
    </row>
    <row r="28" spans="3:13" x14ac:dyDescent="0.3">
      <c r="C28" s="1"/>
      <c r="D28" s="2" t="s">
        <v>30</v>
      </c>
      <c r="E28" s="18"/>
      <c r="F28" s="9"/>
      <c r="G28" s="9"/>
      <c r="H28" s="9"/>
      <c r="I28" s="9"/>
      <c r="J28" s="9"/>
      <c r="K28" s="9">
        <f>+SUM('[1]GMB By born_here'!$C$54,'[1]GMB By born_here'!$C$56,'[1]GMB By born_here'!$C$58,'[1]GMB By born_here'!$C$60,'[1]GMB By born_here'!$C$62,'[1]GMB By born_here'!$C$64,'[1]GMB By born_here'!$C$66,'[1]GMB By born_here'!$C$44)</f>
        <v>7.8989802226424217</v>
      </c>
      <c r="L28" s="9">
        <f>+SUM('[1]GMB By born_here'!$D$54,'[1]GMB By born_here'!$D$56,'[1]GMB By born_here'!$D$58,'[1]GMB By born_here'!$D$60,'[1]GMB By born_here'!$D$62,'[1]GMB By born_here'!$D$64,'[1]GMB By born_here'!$D$66,'[1]GMB By born_here'!$D$44)</f>
        <v>7.1901636533439159</v>
      </c>
      <c r="M28" s="1"/>
    </row>
    <row r="29" spans="3:13" x14ac:dyDescent="0.3">
      <c r="C29" s="1"/>
      <c r="D29" s="2" t="s">
        <v>17</v>
      </c>
      <c r="E29" s="18">
        <f>'[1]GNB By female'!C50</f>
        <v>64.026046752929688</v>
      </c>
      <c r="F29" s="9">
        <f>'[1]GNB By female'!D50</f>
        <v>71.328628540039063</v>
      </c>
      <c r="G29" s="9">
        <f>'[1]GNB By urban'!$C$50</f>
        <v>51.167255401611328</v>
      </c>
      <c r="H29" s="9">
        <f>'[1]GNB By urban'!$D$50</f>
        <v>82.240020751953125</v>
      </c>
      <c r="I29" s="9"/>
      <c r="J29" s="9"/>
      <c r="K29" s="9">
        <f>+'[1]GMB By born_here'!$C$48</f>
        <v>43.589447021484375</v>
      </c>
      <c r="L29" s="9">
        <f>+'[1]GMB By born_here'!$D$48</f>
        <v>50.928600311279297</v>
      </c>
      <c r="M29" s="1"/>
    </row>
    <row r="30" spans="3:13" x14ac:dyDescent="0.3">
      <c r="C30" s="1"/>
      <c r="D30" s="3" t="s">
        <v>18</v>
      </c>
      <c r="E30" s="19"/>
      <c r="F30" s="10"/>
      <c r="G30" s="10"/>
      <c r="H30" s="10"/>
      <c r="I30" s="10"/>
      <c r="J30" s="10"/>
      <c r="K30" s="10">
        <f>'[1]GMB By born_here'!$C$50</f>
        <v>3.4611203670501709</v>
      </c>
      <c r="L30" s="10">
        <f>'[1]GMB By born_here'!$D$50</f>
        <v>2.2311232089996338</v>
      </c>
      <c r="M30" s="1"/>
    </row>
    <row r="31" spans="3:13" x14ac:dyDescent="0.3">
      <c r="C31" s="1"/>
      <c r="D31" s="2" t="s">
        <v>22</v>
      </c>
      <c r="E31" s="1"/>
      <c r="F31" s="1"/>
      <c r="G31" s="1"/>
      <c r="H31" s="1"/>
      <c r="I31" s="1"/>
      <c r="J31" s="1"/>
      <c r="K31" s="1"/>
      <c r="L31" s="1"/>
      <c r="M31" s="1"/>
    </row>
    <row r="32" spans="3:13" x14ac:dyDescent="0.3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4" spans="5:8" x14ac:dyDescent="0.3">
      <c r="E34" s="31">
        <f>+SUM(E29,E25:E26)</f>
        <v>100.00000286102295</v>
      </c>
      <c r="F34" s="31">
        <f>+SUM(F29,F25:F26)</f>
        <v>100.00000095367432</v>
      </c>
      <c r="G34" s="31">
        <f t="shared" ref="G34:H34" si="0">+SUM(G29,G25:G26)</f>
        <v>100.00000095367432</v>
      </c>
      <c r="H34" s="31">
        <f t="shared" si="0"/>
        <v>100.00000286102295</v>
      </c>
    </row>
  </sheetData>
  <mergeCells count="3">
    <mergeCell ref="E4:F4"/>
    <mergeCell ref="G4:H4"/>
    <mergeCell ref="K4:L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577A2-37F5-4E59-9B40-3A16AFBCE480}">
  <dimension ref="C3:M32"/>
  <sheetViews>
    <sheetView topLeftCell="A4" workbookViewId="0">
      <selection activeCell="D4" sqref="D4:H30"/>
    </sheetView>
  </sheetViews>
  <sheetFormatPr defaultRowHeight="14.4" x14ac:dyDescent="0.3"/>
  <cols>
    <col min="4" max="4" width="20.77734375" bestFit="1" customWidth="1"/>
  </cols>
  <sheetData>
    <row r="3" spans="3:13" x14ac:dyDescent="0.3"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3:13" x14ac:dyDescent="0.3">
      <c r="C4" s="1"/>
      <c r="D4" s="16"/>
      <c r="E4" s="32" t="s">
        <v>37</v>
      </c>
      <c r="F4" s="33"/>
      <c r="G4" s="33" t="s">
        <v>31</v>
      </c>
      <c r="H4" s="33"/>
      <c r="I4" s="17"/>
      <c r="J4" s="17"/>
      <c r="K4" s="33" t="s">
        <v>38</v>
      </c>
      <c r="L4" s="33"/>
      <c r="M4" s="1"/>
    </row>
    <row r="5" spans="3:13" x14ac:dyDescent="0.3">
      <c r="C5" s="1"/>
      <c r="D5" s="16"/>
      <c r="E5" s="6" t="s">
        <v>33</v>
      </c>
      <c r="F5" s="16" t="s">
        <v>34</v>
      </c>
      <c r="G5" s="16" t="s">
        <v>35</v>
      </c>
      <c r="H5" s="16" t="s">
        <v>36</v>
      </c>
      <c r="I5" s="16"/>
      <c r="J5" s="16"/>
      <c r="K5" s="16" t="s">
        <v>32</v>
      </c>
      <c r="L5" s="16" t="s">
        <v>39</v>
      </c>
      <c r="M5" s="1"/>
    </row>
    <row r="6" spans="3:13" x14ac:dyDescent="0.3">
      <c r="C6" s="1"/>
      <c r="D6" s="2" t="s">
        <v>3</v>
      </c>
      <c r="E6" s="18">
        <f>'[1]MRT By female'!$C$2</f>
        <v>52.374599456787109</v>
      </c>
      <c r="F6" s="9">
        <f>'[1]MRT By female'!$D$2</f>
        <v>59.886913299560547</v>
      </c>
      <c r="G6" s="9">
        <f>'[1]MRT By urban'!$C$2</f>
        <v>100</v>
      </c>
      <c r="H6" s="9">
        <f>'[1]MRT By urban'!$D$2</f>
        <v>0</v>
      </c>
      <c r="I6" s="9"/>
      <c r="J6" s="9"/>
      <c r="K6" s="9">
        <f>'[1]MRT By born_here'!$C$2</f>
        <v>55.048976898193359</v>
      </c>
      <c r="L6" s="9">
        <f>'[1]MRT By born_here'!$D$2</f>
        <v>83.385276794433594</v>
      </c>
      <c r="M6" s="1"/>
    </row>
    <row r="7" spans="3:13" x14ac:dyDescent="0.3">
      <c r="C7" s="1"/>
      <c r="D7" s="2" t="s">
        <v>4</v>
      </c>
      <c r="E7" s="18">
        <f>'[1]MRT By female'!$C$6</f>
        <v>100</v>
      </c>
      <c r="F7" s="9">
        <f>'[1]MRT By female'!$D$6</f>
        <v>0</v>
      </c>
      <c r="G7" s="9">
        <f>'[1]MRT By urban'!$C$6</f>
        <v>54.558963775634766</v>
      </c>
      <c r="H7" s="9">
        <f>'[1]MRT By urban'!$D$6</f>
        <v>61.976860046386719</v>
      </c>
      <c r="I7" s="9"/>
      <c r="J7" s="9"/>
      <c r="K7" s="9">
        <f>'[1]MRT By born_here'!$C$6</f>
        <v>58.010913848876953</v>
      </c>
      <c r="L7" s="9">
        <f>'[1]MRT By born_here'!$D$6</f>
        <v>49.133625030517578</v>
      </c>
      <c r="M7" s="1"/>
    </row>
    <row r="8" spans="3:13" x14ac:dyDescent="0.3">
      <c r="C8" s="1"/>
      <c r="D8" s="3" t="s">
        <v>5</v>
      </c>
      <c r="E8" s="19">
        <f>'[1]MRT By female'!$C$8</f>
        <v>98.526870727539063</v>
      </c>
      <c r="F8" s="10">
        <f>'[1]MRT By female'!$D$8</f>
        <v>97.906265258789063</v>
      </c>
      <c r="G8" s="10">
        <f>'[1]MRT By urban'!$C$8</f>
        <v>97.395668029785156</v>
      </c>
      <c r="H8" s="10">
        <f>'[1]MRT By urban'!$D$8</f>
        <v>99.35174560546875</v>
      </c>
      <c r="I8" s="10"/>
      <c r="J8" s="10"/>
      <c r="K8" s="10">
        <f>'[1]MRT By born_here'!$C$8</f>
        <v>100</v>
      </c>
      <c r="L8" s="10">
        <f>'[1]MRT By born_here'!$D$8</f>
        <v>0</v>
      </c>
      <c r="M8" s="1"/>
    </row>
    <row r="9" spans="3:13" x14ac:dyDescent="0.3">
      <c r="C9" s="1"/>
      <c r="D9" s="2" t="s">
        <v>6</v>
      </c>
      <c r="E9" s="18">
        <f>'[1]MRT By female'!$C$10</f>
        <v>51.517749786376953</v>
      </c>
      <c r="F9" s="9">
        <f>'[1]MRT By female'!$D$10</f>
        <v>38.820388793945313</v>
      </c>
      <c r="G9" s="9">
        <f>'[1]MRT By urban'!$C$10</f>
        <v>38.704914093017578</v>
      </c>
      <c r="H9" s="9">
        <f>'[1]MRT By urban'!$D$10</f>
        <v>55.488231658935547</v>
      </c>
      <c r="I9" s="9"/>
      <c r="J9" s="9"/>
      <c r="K9" s="9">
        <f>'[1]MRT By born_here'!$C$10</f>
        <v>45.970630645751953</v>
      </c>
      <c r="L9" s="9">
        <f>'[1]MRT By born_here'!$D$10</f>
        <v>57.273033142089844</v>
      </c>
      <c r="M9" s="1"/>
    </row>
    <row r="10" spans="3:13" x14ac:dyDescent="0.3">
      <c r="C10" s="1"/>
      <c r="D10" s="2" t="s">
        <v>7</v>
      </c>
      <c r="E10" s="18">
        <f>'[1]MRT By female'!$C$12</f>
        <v>44.927833557128906</v>
      </c>
      <c r="F10" s="9">
        <f>'[1]MRT By female'!$D$12</f>
        <v>49.187030792236328</v>
      </c>
      <c r="G10" s="9">
        <f>'[1]MRT By urban'!$C$12</f>
        <v>50.66156005859375</v>
      </c>
      <c r="H10" s="9">
        <f>'[1]MRT By urban'!$D$12</f>
        <v>41.802326202392578</v>
      </c>
      <c r="I10" s="9"/>
      <c r="J10" s="9"/>
      <c r="K10" s="9">
        <f>'[1]MRT By born_here'!$C$12</f>
        <v>47.021968841552734</v>
      </c>
      <c r="L10" s="9">
        <f>'[1]MRT By born_here'!$D$12</f>
        <v>29.775028228759766</v>
      </c>
      <c r="M10" s="1"/>
    </row>
    <row r="11" spans="3:13" x14ac:dyDescent="0.3">
      <c r="C11" s="1"/>
      <c r="D11" s="2" t="s">
        <v>8</v>
      </c>
      <c r="E11" s="18">
        <f>'[1]MRT By female'!$C$14</f>
        <v>1.3680849075317383</v>
      </c>
      <c r="F11" s="9">
        <f>'[1]MRT By female'!$D$14</f>
        <v>4.9286093711853027</v>
      </c>
      <c r="G11" s="9">
        <f>'[1]MRT By urban'!$C$14</f>
        <v>3.4153497219085693</v>
      </c>
      <c r="H11" s="9">
        <f>'[1]MRT By urban'!$D$14</f>
        <v>2.1855781078338623</v>
      </c>
      <c r="I11" s="9"/>
      <c r="J11" s="9"/>
      <c r="K11" s="9">
        <f>'[1]MRT By born_here'!$C$14</f>
        <v>2.8207409381866455</v>
      </c>
      <c r="L11" s="9">
        <f>'[1]MRT By born_here'!$D$14</f>
        <v>5.5796937942504883</v>
      </c>
      <c r="M11" s="1"/>
    </row>
    <row r="12" spans="3:13" x14ac:dyDescent="0.3">
      <c r="C12" s="1"/>
      <c r="D12" s="3" t="s">
        <v>9</v>
      </c>
      <c r="E12" s="19">
        <f>'[1]MRT By female'!$C$16</f>
        <v>2.1863322257995605</v>
      </c>
      <c r="F12" s="10">
        <f>'[1]MRT By female'!$D$16</f>
        <v>7.0639710426330566</v>
      </c>
      <c r="G12" s="10">
        <f>'[1]MRT By urban'!$C$16</f>
        <v>7.2181763648986816</v>
      </c>
      <c r="H12" s="10">
        <f>'[1]MRT By urban'!$D$16</f>
        <v>0.52386319637298584</v>
      </c>
      <c r="I12" s="10"/>
      <c r="J12" s="10"/>
      <c r="K12" s="10">
        <f>'[1]MRT By born_here'!$C$16</f>
        <v>4.1866602897644043</v>
      </c>
      <c r="L12" s="10">
        <f>'[1]MRT By born_here'!$D$16</f>
        <v>7.3722448348999023</v>
      </c>
      <c r="M12" s="1"/>
    </row>
    <row r="13" spans="3:13" x14ac:dyDescent="0.3">
      <c r="C13" s="1"/>
      <c r="D13" s="20" t="s">
        <v>10</v>
      </c>
      <c r="E13" s="18">
        <f>'[1]MRT By female'!$C$18</f>
        <v>98.123031616210938</v>
      </c>
      <c r="F13" s="9">
        <f>'[1]MRT By female'!$D$18</f>
        <v>92.268386840820313</v>
      </c>
      <c r="G13" s="9">
        <f>'[1]MRT By urban'!$C$18</f>
        <v>92.808273315429688</v>
      </c>
      <c r="H13" s="9">
        <f>'[1]MRT By urban'!$D$18</f>
        <v>99.212821960449219</v>
      </c>
      <c r="I13" s="9"/>
      <c r="J13" s="9"/>
      <c r="K13" s="9">
        <f>'[1]MRT By born_here'!$C$18</f>
        <v>95.629150390625</v>
      </c>
      <c r="L13" s="9">
        <f>'[1]MRT By born_here'!$D$18</f>
        <v>97.159873962402344</v>
      </c>
      <c r="M13" s="1"/>
    </row>
    <row r="14" spans="3:13" x14ac:dyDescent="0.3">
      <c r="C14" s="1"/>
      <c r="D14" s="2" t="s">
        <v>11</v>
      </c>
      <c r="E14" s="21">
        <f>'[1]MRT By female'!$C$20</f>
        <v>4.7370409965515137</v>
      </c>
      <c r="F14" s="22">
        <f>'[1]MRT By female'!$D$20</f>
        <v>5.9004487991333008</v>
      </c>
      <c r="G14" s="22">
        <f>'[1]MRT By urban'!$C$20</f>
        <v>6.858863353729248</v>
      </c>
      <c r="H14" s="22">
        <f>'[1]MRT By urban'!$D$20</f>
        <v>3.283672571182251</v>
      </c>
      <c r="I14" s="22"/>
      <c r="J14" s="22"/>
      <c r="K14" s="22">
        <f>'[1]MRT By born_here'!$C$20</f>
        <v>5.5613727569580078</v>
      </c>
      <c r="L14" s="22">
        <f>'[1]MRT By born_here'!$D$20</f>
        <v>2.8704767227172852</v>
      </c>
      <c r="M14" s="1"/>
    </row>
    <row r="15" spans="3:13" x14ac:dyDescent="0.3">
      <c r="C15" s="1"/>
      <c r="D15" s="2"/>
      <c r="E15" s="21">
        <f>'[1]MRT By female'!$C$21</f>
        <v>15.685815811157227</v>
      </c>
      <c r="F15" s="22">
        <f>'[1]MRT By female'!$D$21</f>
        <v>13.796319961547852</v>
      </c>
      <c r="G15" s="22">
        <f>'[1]MRT By urban'!$C$21</f>
        <v>16.451572418212891</v>
      </c>
      <c r="H15" s="22">
        <f>'[1]MRT By urban'!$D$21</f>
        <v>10.511478424072266</v>
      </c>
      <c r="I15" s="22"/>
      <c r="J15" s="22"/>
      <c r="K15" s="22">
        <f>'[1]MRT By born_here'!$C$21</f>
        <v>14.778663635253906</v>
      </c>
      <c r="L15" s="22">
        <f>'[1]MRT By born_here'!$D$21</f>
        <v>2.912045955657959</v>
      </c>
      <c r="M15" s="1"/>
    </row>
    <row r="16" spans="3:13" x14ac:dyDescent="0.3">
      <c r="C16" s="1"/>
      <c r="D16" s="2" t="s">
        <v>12</v>
      </c>
      <c r="E16" s="21">
        <f>'[1]MRT By female'!$C$22</f>
        <v>52.473152160644531</v>
      </c>
      <c r="F16" s="22">
        <f>'[1]MRT By female'!$D$22</f>
        <v>36.973339080810547</v>
      </c>
      <c r="G16" s="22">
        <f>'[1]MRT By urban'!$C$22</f>
        <v>47.618137359619141</v>
      </c>
      <c r="H16" s="22">
        <f>'[1]MRT By urban'!$D$22</f>
        <v>17.475244522094727</v>
      </c>
      <c r="I16" s="22"/>
      <c r="J16" s="22"/>
      <c r="K16" s="22">
        <f>'[1]MRT By born_here'!$C$22</f>
        <v>41.753982543945313</v>
      </c>
      <c r="L16" s="22">
        <f>'[1]MRT By born_here'!$D$22</f>
        <v>18.861312866210938</v>
      </c>
      <c r="M16" s="1"/>
    </row>
    <row r="17" spans="3:13" x14ac:dyDescent="0.3">
      <c r="C17" s="1"/>
      <c r="D17" s="2"/>
      <c r="E17" s="21">
        <f>'[1]MRT By female'!$C$23</f>
        <v>154.04595947265625</v>
      </c>
      <c r="F17" s="22">
        <f>'[1]MRT By female'!$D$23</f>
        <v>72.11724853515625</v>
      </c>
      <c r="G17" s="22">
        <f>'[1]MRT By urban'!$C$23</f>
        <v>109.36607360839844</v>
      </c>
      <c r="H17" s="22">
        <f>'[1]MRT By urban'!$D$23</f>
        <v>24.18681526184082</v>
      </c>
      <c r="I17" s="22"/>
      <c r="J17" s="22"/>
      <c r="K17" s="22">
        <f>'[1]MRT By born_here'!$C$23</f>
        <v>99.725379943847656</v>
      </c>
      <c r="L17" s="22">
        <f>'[1]MRT By born_here'!$D$23</f>
        <v>14.17954158782959</v>
      </c>
      <c r="M17" s="1"/>
    </row>
    <row r="18" spans="3:13" x14ac:dyDescent="0.3">
      <c r="C18" s="1"/>
      <c r="D18" s="2" t="s">
        <v>13</v>
      </c>
      <c r="E18" s="21">
        <f>'[1]MRT By female'!$C$24</f>
        <v>12.165081024169922</v>
      </c>
      <c r="F18" s="22">
        <f>'[1]MRT By female'!$D$24</f>
        <v>29.261547088623047</v>
      </c>
      <c r="G18" s="22">
        <f>'[1]MRT By urban'!$C$24</f>
        <v>24.965080261230469</v>
      </c>
      <c r="H18" s="22">
        <f>'[1]MRT By urban'!$D$24</f>
        <v>16.589872360229492</v>
      </c>
      <c r="I18" s="22"/>
      <c r="J18" s="22"/>
      <c r="K18" s="22">
        <f>'[1]MRT By born_here'!$C$24</f>
        <v>20.344985961914063</v>
      </c>
      <c r="L18" s="22">
        <f>'[1]MRT By born_here'!$D$24</f>
        <v>24.003974914550781</v>
      </c>
      <c r="M18" s="1"/>
    </row>
    <row r="19" spans="3:13" x14ac:dyDescent="0.3">
      <c r="C19" s="1"/>
      <c r="D19" s="2"/>
      <c r="E19" s="21">
        <f>'[1]MRT By female'!$C$25</f>
        <v>37.516948699951172</v>
      </c>
      <c r="F19" s="22">
        <f>'[1]MRT By female'!$D$25</f>
        <v>52.486835479736328</v>
      </c>
      <c r="G19" s="22">
        <f>'[1]MRT By urban'!$C$25</f>
        <v>55.665908813476563</v>
      </c>
      <c r="H19" s="22">
        <f>'[1]MRT By urban'!$D$25</f>
        <v>35.908287048339844</v>
      </c>
      <c r="I19" s="22"/>
      <c r="J19" s="22"/>
      <c r="K19" s="22">
        <f>'[1]MRT By born_here'!$C$25</f>
        <v>46.411407470703125</v>
      </c>
      <c r="L19" s="22">
        <f>'[1]MRT By born_here'!$D$25</f>
        <v>18.296472549438477</v>
      </c>
      <c r="M19" s="1"/>
    </row>
    <row r="20" spans="3:13" x14ac:dyDescent="0.3">
      <c r="C20" s="1"/>
      <c r="D20" s="2" t="s">
        <v>14</v>
      </c>
      <c r="E20" s="21">
        <f>'[1]MRT By female'!$C$26</f>
        <v>22.167327880859375</v>
      </c>
      <c r="F20" s="22">
        <f>'[1]MRT By female'!$D$26</f>
        <v>34.704410552978516</v>
      </c>
      <c r="G20" s="22">
        <f>'[1]MRT By urban'!$C$26</f>
        <v>38.546638488769531</v>
      </c>
      <c r="H20" s="22">
        <f>'[1]MRT By urban'!$D$26</f>
        <v>16.984573364257813</v>
      </c>
      <c r="I20" s="22"/>
      <c r="J20" s="22"/>
      <c r="K20" s="22">
        <f>'[1]MRT By born_here'!$C$26</f>
        <v>30.40510368347168</v>
      </c>
      <c r="L20" s="22">
        <f>'[1]MRT By born_here'!$D$26</f>
        <v>19.923225402832031</v>
      </c>
      <c r="M20" s="1"/>
    </row>
    <row r="21" spans="3:13" x14ac:dyDescent="0.3">
      <c r="C21" s="1"/>
      <c r="D21" s="2"/>
      <c r="E21" s="21">
        <f>'[1]MRT By female'!$C$27</f>
        <v>75.952880859375</v>
      </c>
      <c r="F21" s="22">
        <f>'[1]MRT By female'!$D$27</f>
        <v>71.722137451171875</v>
      </c>
      <c r="G21" s="22">
        <f>'[1]MRT By urban'!$C$27</f>
        <v>88.78485107421875</v>
      </c>
      <c r="H21" s="22">
        <f>'[1]MRT By urban'!$D$27</f>
        <v>36.552494049072266</v>
      </c>
      <c r="I21" s="22"/>
      <c r="J21" s="22"/>
      <c r="K21" s="22">
        <f>'[1]MRT By born_here'!$C$27</f>
        <v>74.783821105957031</v>
      </c>
      <c r="L21" s="22">
        <f>'[1]MRT By born_here'!$D$27</f>
        <v>15.169528961181641</v>
      </c>
      <c r="M21" s="1"/>
    </row>
    <row r="22" spans="3:13" x14ac:dyDescent="0.3">
      <c r="C22" s="1"/>
      <c r="D22" s="2" t="s">
        <v>15</v>
      </c>
      <c r="E22" s="21">
        <f>'[1]MRT By female'!$C$34</f>
        <v>2.4612195491790771</v>
      </c>
      <c r="F22" s="22">
        <f>'[1]MRT By female'!$D$34</f>
        <v>6.5422263145446777</v>
      </c>
      <c r="G22" s="22">
        <f>'[1]MRT By urban'!$C$34</f>
        <v>4.8266968727111816</v>
      </c>
      <c r="H22" s="22">
        <f>'[1]MRT By urban'!$D$34</f>
        <v>2.1852374076843262</v>
      </c>
      <c r="I22" s="22"/>
      <c r="J22" s="22"/>
      <c r="K22" s="22">
        <f>'[1]MRT By born_here'!$C$34</f>
        <v>3.6442413330078125</v>
      </c>
      <c r="L22" s="22">
        <f>'[1]MRT By born_here'!$D$34</f>
        <v>2.1866724491119385</v>
      </c>
      <c r="M22" s="1"/>
    </row>
    <row r="23" spans="3:13" x14ac:dyDescent="0.3">
      <c r="C23" s="1"/>
      <c r="D23" s="3"/>
      <c r="E23" s="23">
        <f>'[1]MRT By female'!$C$35</f>
        <v>15.494746208190918</v>
      </c>
      <c r="F23" s="24">
        <f>'[1]MRT By female'!$D$35</f>
        <v>24.729887008666992</v>
      </c>
      <c r="G23" s="24">
        <f>'[1]MRT By urban'!$C$35</f>
        <v>21.434097290039063</v>
      </c>
      <c r="H23" s="24">
        <f>'[1]MRT By urban'!$D$35</f>
        <v>14.621562957763672</v>
      </c>
      <c r="I23" s="24"/>
      <c r="J23" s="24"/>
      <c r="K23" s="24">
        <f>'[1]MRT By born_here'!$C$35</f>
        <v>18.739467620849609</v>
      </c>
      <c r="L23" s="24">
        <f>'[1]MRT By born_here'!$D$35</f>
        <v>14.705856323242188</v>
      </c>
      <c r="M23" s="1"/>
    </row>
    <row r="24" spans="3:13" x14ac:dyDescent="0.3">
      <c r="C24" s="1"/>
      <c r="D24" s="2" t="s">
        <v>16</v>
      </c>
      <c r="E24" s="18">
        <f>'[1]MRT By female'!$C$30</f>
        <v>57.606552124023438</v>
      </c>
      <c r="F24" s="9">
        <f>'[1]MRT By female'!$D$30</f>
        <v>23.019447326660156</v>
      </c>
      <c r="G24" s="9">
        <f>'[1]MRT By urban'!$C$30</f>
        <v>37.883171081542969</v>
      </c>
      <c r="H24" s="9">
        <f>'[1]MRT By urban'!$D$30</f>
        <v>49.577640533447266</v>
      </c>
      <c r="I24" s="9"/>
      <c r="J24" s="9"/>
      <c r="K24" s="9">
        <f>'[1]MRT By born_here'!$C$30</f>
        <v>43.397331237792969</v>
      </c>
      <c r="L24" s="9">
        <f>'[1]MRT By born_here'!$D$30</f>
        <v>23.985763549804688</v>
      </c>
      <c r="M24" s="1"/>
    </row>
    <row r="25" spans="3:13" x14ac:dyDescent="0.3">
      <c r="C25" s="1"/>
      <c r="D25" s="2" t="s">
        <v>23</v>
      </c>
      <c r="E25" s="18">
        <f>'[1]MRT By female'!$C$36</f>
        <v>21.355016708374023</v>
      </c>
      <c r="F25" s="9">
        <f>'[1]MRT By female'!$D$36</f>
        <v>19.085628509521484</v>
      </c>
      <c r="G25" s="9">
        <f>'[1]MRT By urban'!$C$36</f>
        <v>18.627466201782227</v>
      </c>
      <c r="H25" s="9">
        <f>'[1]MRT By urban'!$D$36</f>
        <v>22.611230850219727</v>
      </c>
      <c r="I25" s="9"/>
      <c r="J25" s="9"/>
      <c r="K25" s="9">
        <f>'[1]MRT By born_here'!$C$36</f>
        <v>20.681478500366211</v>
      </c>
      <c r="L25" s="9">
        <f>'[1]MRT By born_here'!$D$36</f>
        <v>4.3756523132324219</v>
      </c>
      <c r="M25" s="1"/>
    </row>
    <row r="26" spans="3:13" x14ac:dyDescent="0.3">
      <c r="C26" s="1"/>
      <c r="D26" s="2" t="s">
        <v>19</v>
      </c>
      <c r="E26" s="18">
        <f>'[1]MRT By female'!$C$38</f>
        <v>16.898443222045898</v>
      </c>
      <c r="F26" s="9">
        <f>'[1]MRT By female'!$D$38</f>
        <v>20.656917572021484</v>
      </c>
      <c r="G26" s="9">
        <f>'[1]MRT By urban'!$C$38</f>
        <v>23.4339599609375</v>
      </c>
      <c r="H26" s="9">
        <f>'[1]MRT By urban'!$D$38</f>
        <v>12.296671867370605</v>
      </c>
      <c r="I26" s="9"/>
      <c r="J26" s="9"/>
      <c r="K26" s="9">
        <f>'[1]MRT By born_here'!$C$38</f>
        <v>18.620794296264648</v>
      </c>
      <c r="L26" s="9">
        <f>'[1]MRT By born_here'!$D$38</f>
        <v>10.641529083251953</v>
      </c>
      <c r="M26" s="1"/>
    </row>
    <row r="27" spans="3:13" x14ac:dyDescent="0.3">
      <c r="C27" s="1"/>
      <c r="D27" s="1" t="s">
        <v>20</v>
      </c>
      <c r="E27" s="18">
        <f>'[1]MRT By female'!$C$40</f>
        <v>35.073657989501953</v>
      </c>
      <c r="F27" s="9">
        <f>'[1]MRT By female'!$D$40</f>
        <v>0.71170216798782349</v>
      </c>
      <c r="G27" s="9">
        <f>'[1]MRT By urban'!$C$40</f>
        <v>16.535100936889648</v>
      </c>
      <c r="H27" s="9">
        <f>'[1]MRT By urban'!$D$40</f>
        <v>25.661098480224609</v>
      </c>
      <c r="I27" s="9"/>
      <c r="J27" s="9"/>
      <c r="K27" s="9">
        <f>'[1]MRT By born_here'!$C$40</f>
        <v>20.63615608215332</v>
      </c>
      <c r="L27" s="9">
        <f>'[1]MRT By born_here'!$D$40</f>
        <v>18.117914199829102</v>
      </c>
      <c r="M27" s="1"/>
    </row>
    <row r="28" spans="3:13" x14ac:dyDescent="0.3">
      <c r="C28" s="1"/>
      <c r="D28" s="2" t="s">
        <v>30</v>
      </c>
      <c r="E28" s="18"/>
      <c r="F28" s="9"/>
      <c r="G28" s="9"/>
      <c r="H28" s="9"/>
      <c r="I28" s="9"/>
      <c r="J28" s="9"/>
      <c r="K28" s="9"/>
      <c r="L28" s="9"/>
      <c r="M28" s="1"/>
    </row>
    <row r="29" spans="3:13" x14ac:dyDescent="0.3">
      <c r="C29" s="1"/>
      <c r="D29" s="2" t="s">
        <v>17</v>
      </c>
      <c r="E29" s="18">
        <f>'[1]MRT By female'!$C$42</f>
        <v>25.017568588256836</v>
      </c>
      <c r="F29" s="9">
        <f>'[1]MRT By female'!$D$42</f>
        <v>55.95391845703125</v>
      </c>
      <c r="G29" s="9">
        <f>'[1]MRT By urban'!$C$42</f>
        <v>38.223087310791016</v>
      </c>
      <c r="H29" s="9">
        <f>'[1]MRT By urban'!$D$42</f>
        <v>37.845241546630859</v>
      </c>
      <c r="I29" s="9"/>
      <c r="J29" s="9"/>
      <c r="K29" s="9">
        <f>'[1]MRT By born_here'!$C$42</f>
        <v>37.572864532470703</v>
      </c>
      <c r="L29" s="9">
        <f>'[1]MRT By born_here'!$D$42</f>
        <v>65.372711181640625</v>
      </c>
      <c r="M29" s="1"/>
    </row>
    <row r="30" spans="3:13" x14ac:dyDescent="0.3">
      <c r="C30" s="1"/>
      <c r="D30" s="3" t="s">
        <v>18</v>
      </c>
      <c r="E30" s="19">
        <f>'[1]MRT By female'!$C$44</f>
        <v>1.6553134918212891</v>
      </c>
      <c r="F30" s="10">
        <f>'[1]MRT By female'!$D$44</f>
        <v>3.5918312072753906</v>
      </c>
      <c r="G30" s="10">
        <f>'[1]MRT By urban'!$C$44</f>
        <v>3.1803843975067139</v>
      </c>
      <c r="H30" s="10">
        <f>'[1]MRT By urban'!$D$44</f>
        <v>1.5857576131820679</v>
      </c>
      <c r="I30" s="10"/>
      <c r="J30" s="10"/>
      <c r="K30" s="10">
        <f>'[1]MRT By born_here'!$C$44</f>
        <v>2.4887077808380127</v>
      </c>
      <c r="L30" s="10">
        <f>'[1]MRT By born_here'!$D$44</f>
        <v>1.4921966791152954</v>
      </c>
      <c r="M30" s="1"/>
    </row>
    <row r="31" spans="3:13" x14ac:dyDescent="0.3">
      <c r="C31" s="1"/>
      <c r="D31" s="2" t="s">
        <v>22</v>
      </c>
      <c r="E31" s="1"/>
      <c r="F31" s="1"/>
      <c r="G31" s="1"/>
      <c r="H31" s="1"/>
      <c r="I31" s="1"/>
      <c r="J31" s="1"/>
      <c r="K31" s="1"/>
      <c r="L31" s="1"/>
      <c r="M31" s="1"/>
    </row>
    <row r="32" spans="3:13" x14ac:dyDescent="0.3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</sheetData>
  <mergeCells count="3">
    <mergeCell ref="E4:F4"/>
    <mergeCell ref="G4:H4"/>
    <mergeCell ref="K4:L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3AA9-3D0F-428E-8360-680AB1849E58}">
  <dimension ref="C3:M34"/>
  <sheetViews>
    <sheetView tabSelected="1" topLeftCell="A4" workbookViewId="0">
      <selection activeCell="H49" sqref="H49"/>
    </sheetView>
  </sheetViews>
  <sheetFormatPr defaultRowHeight="14.4" x14ac:dyDescent="0.3"/>
  <cols>
    <col min="4" max="4" width="20.77734375" bestFit="1" customWidth="1"/>
  </cols>
  <sheetData>
    <row r="3" spans="3:13" x14ac:dyDescent="0.3"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3:13" x14ac:dyDescent="0.3">
      <c r="C4" s="1"/>
      <c r="D4" s="16"/>
      <c r="E4" s="32" t="s">
        <v>37</v>
      </c>
      <c r="F4" s="33"/>
      <c r="G4" s="33" t="s">
        <v>31</v>
      </c>
      <c r="H4" s="33"/>
      <c r="I4" s="17"/>
      <c r="J4" s="17"/>
      <c r="K4" s="33" t="s">
        <v>38</v>
      </c>
      <c r="L4" s="33"/>
      <c r="M4" s="1"/>
    </row>
    <row r="5" spans="3:13" x14ac:dyDescent="0.3">
      <c r="C5" s="1"/>
      <c r="D5" s="16"/>
      <c r="E5" s="6" t="s">
        <v>33</v>
      </c>
      <c r="F5" s="16" t="s">
        <v>34</v>
      </c>
      <c r="G5" s="16" t="s">
        <v>35</v>
      </c>
      <c r="H5" s="16" t="s">
        <v>36</v>
      </c>
      <c r="I5" s="16"/>
      <c r="J5" s="16"/>
      <c r="K5" s="16" t="s">
        <v>32</v>
      </c>
      <c r="L5" s="16" t="s">
        <v>39</v>
      </c>
      <c r="M5" s="1"/>
    </row>
    <row r="6" spans="3:13" x14ac:dyDescent="0.3">
      <c r="C6" s="1"/>
      <c r="D6" s="2" t="s">
        <v>3</v>
      </c>
      <c r="E6" s="18">
        <f>'[1]SEN By female'!$C$2</f>
        <v>50.902503967285156</v>
      </c>
      <c r="F6" s="9">
        <f>'[1]SEN By female'!$D$2</f>
        <v>53.703056335449219</v>
      </c>
      <c r="G6" s="9">
        <f>'[1]SEN By urban'!$C$2</f>
        <v>100</v>
      </c>
      <c r="H6" s="9">
        <f>'[1]SEN By urban'!$D$2</f>
        <v>0</v>
      </c>
      <c r="I6" s="9"/>
      <c r="J6" s="9"/>
      <c r="K6" s="9">
        <f>'[1]GMB By born_here'!$C$2</f>
        <v>61.085651397705078</v>
      </c>
      <c r="L6" s="9">
        <f>'[1]GMB By born_here'!$D$2</f>
        <v>77.431350708007813</v>
      </c>
      <c r="M6" s="1"/>
    </row>
    <row r="7" spans="3:13" x14ac:dyDescent="0.3">
      <c r="C7" s="1"/>
      <c r="D7" s="2" t="s">
        <v>4</v>
      </c>
      <c r="E7" s="18">
        <f>'[1]SEN By female'!$C$6</f>
        <v>100</v>
      </c>
      <c r="F7" s="9">
        <f>'[1]SEN By female'!$D$6</f>
        <v>0</v>
      </c>
      <c r="G7" s="9">
        <f>'[1]SEN By urban'!$C$6</f>
        <v>55.606834411621094</v>
      </c>
      <c r="H7" s="9">
        <f>'[1]SEN By urban'!$D$6</f>
        <v>58.358566284179688</v>
      </c>
      <c r="I7" s="9"/>
      <c r="J7" s="9"/>
      <c r="K7" s="9">
        <f>'[1]GMB By born_here'!$C$6</f>
        <v>52.1495361328125</v>
      </c>
      <c r="L7" s="9">
        <f>'[1]GMB By born_here'!$D$6</f>
        <v>45.098834991455078</v>
      </c>
      <c r="M7" s="1"/>
    </row>
    <row r="8" spans="3:13" x14ac:dyDescent="0.3">
      <c r="C8" s="1"/>
      <c r="D8" s="3" t="s">
        <v>5</v>
      </c>
      <c r="E8" s="19">
        <f>'[1]SEN By female'!$C$8</f>
        <v>99.6031494140625</v>
      </c>
      <c r="F8" s="10">
        <f>'[1]SEN By female'!$D$8</f>
        <v>99.232353210449219</v>
      </c>
      <c r="G8" s="10">
        <f>'[1]SEN By urban'!$C$8</f>
        <v>99.178733825683594</v>
      </c>
      <c r="H8" s="10">
        <f>'[1]SEN By urban'!$D$8</f>
        <v>99.731430053710938</v>
      </c>
      <c r="I8" s="10"/>
      <c r="J8" s="10"/>
      <c r="K8" s="10">
        <f>'[1]GMB By born_here'!$C$8</f>
        <v>100</v>
      </c>
      <c r="L8" s="10">
        <f>'[1]GMB By born_here'!$D$8</f>
        <v>0</v>
      </c>
      <c r="M8" s="1"/>
    </row>
    <row r="9" spans="3:13" x14ac:dyDescent="0.3">
      <c r="C9" s="1"/>
      <c r="D9" s="2" t="s">
        <v>6</v>
      </c>
      <c r="E9" s="18">
        <f>'[1]SEN By female'!$C$10</f>
        <v>58.114891052246094</v>
      </c>
      <c r="F9" s="9">
        <f>'[1]SEN By female'!$D$10</f>
        <v>50.029937744140625</v>
      </c>
      <c r="G9" s="9">
        <f>'[1]SEN By urban'!$C$10</f>
        <v>38.785419464111328</v>
      </c>
      <c r="H9" s="9">
        <f>'[1]SEN By urban'!$D$10</f>
        <v>71.874732971191406</v>
      </c>
      <c r="I9" s="9"/>
      <c r="J9" s="9"/>
      <c r="K9" s="9">
        <f>'[1]GMB By born_here'!$C$10</f>
        <v>36.693206787109375</v>
      </c>
      <c r="L9" s="9">
        <f>'[1]GMB By born_here'!$D$10</f>
        <v>55.067588806152344</v>
      </c>
      <c r="M9" s="1"/>
    </row>
    <row r="10" spans="3:13" x14ac:dyDescent="0.3">
      <c r="C10" s="1"/>
      <c r="D10" s="2" t="s">
        <v>7</v>
      </c>
      <c r="E10" s="18">
        <f>'[1]SEN By female'!$C$12</f>
        <v>30.898220062255859</v>
      </c>
      <c r="F10" s="9">
        <f>'[1]SEN By female'!$D$12</f>
        <v>35.729835510253906</v>
      </c>
      <c r="G10" s="9">
        <f>'[1]SEN By urban'!$C$12</f>
        <v>41.829051971435547</v>
      </c>
      <c r="H10" s="9">
        <f>'[1]SEN By urban'!$D$12</f>
        <v>23.350486755371094</v>
      </c>
      <c r="I10" s="9"/>
      <c r="J10" s="9"/>
      <c r="K10" s="9">
        <f>'[1]GMB By born_here'!$C$12</f>
        <v>28.281024932861328</v>
      </c>
      <c r="L10" s="9">
        <f>'[1]GMB By born_here'!$D$12</f>
        <v>25.675424575805664</v>
      </c>
      <c r="M10" s="1"/>
    </row>
    <row r="11" spans="3:13" x14ac:dyDescent="0.3">
      <c r="C11" s="1"/>
      <c r="D11" s="2" t="s">
        <v>8</v>
      </c>
      <c r="E11" s="18">
        <f>'[1]SEN By female'!$C$14</f>
        <v>0.99221360683441162</v>
      </c>
      <c r="F11" s="9">
        <f>'[1]SEN By female'!$D$14</f>
        <v>1.2908797264099121</v>
      </c>
      <c r="G11" s="9">
        <f>'[1]SEN By urban'!$C$14</f>
        <v>1.9786783456802368</v>
      </c>
      <c r="H11" s="9">
        <f>'[1]SEN By urban'!$D$14</f>
        <v>0.1875053197145462</v>
      </c>
      <c r="I11" s="9"/>
      <c r="J11" s="9"/>
      <c r="K11" s="9">
        <f>'[1]GMB By born_here'!$C$14</f>
        <v>25.993709564208984</v>
      </c>
      <c r="L11" s="9">
        <f>'[1]GMB By born_here'!$D$14</f>
        <v>13.703222274780273</v>
      </c>
      <c r="M11" s="1"/>
    </row>
    <row r="12" spans="3:13" x14ac:dyDescent="0.3">
      <c r="C12" s="1"/>
      <c r="D12" s="3" t="s">
        <v>9</v>
      </c>
      <c r="E12" s="19">
        <f>'[1]SEN By female'!$C$16</f>
        <v>9.9946765899658203</v>
      </c>
      <c r="F12" s="10">
        <f>'[1]SEN By female'!$D$16</f>
        <v>12.949345588684082</v>
      </c>
      <c r="G12" s="10">
        <f>'[1]SEN By urban'!$C$16</f>
        <v>17.406850814819336</v>
      </c>
      <c r="H12" s="10">
        <f>'[1]SEN By urban'!$D$16</f>
        <v>4.5872769355773926</v>
      </c>
      <c r="I12" s="10"/>
      <c r="J12" s="10"/>
      <c r="K12" s="10">
        <f>'[1]GMB By born_here'!$C$16</f>
        <v>9.0320577621459961</v>
      </c>
      <c r="L12" s="10">
        <f>'[1]GMB By born_here'!$D$16</f>
        <v>5.553764820098877</v>
      </c>
      <c r="M12" s="1"/>
    </row>
    <row r="13" spans="3:13" x14ac:dyDescent="0.3">
      <c r="C13" s="1"/>
      <c r="D13" s="20" t="s">
        <v>10</v>
      </c>
      <c r="E13" s="18">
        <f>'[1]SEN By female'!C32</f>
        <v>97.40716552734375</v>
      </c>
      <c r="F13" s="9">
        <f>'[1]SEN By female'!D32</f>
        <v>94.141212463378906</v>
      </c>
      <c r="G13" s="9">
        <f>'[1]SEN By urban'!C32</f>
        <v>92.425033569335938</v>
      </c>
      <c r="H13" s="9">
        <f>'[1]SEN By urban'!D32</f>
        <v>98.746574401855469</v>
      </c>
      <c r="I13" s="9"/>
      <c r="J13" s="9"/>
      <c r="K13" s="9">
        <f>'[1]GMB By born_here'!$C$18</f>
        <v>20.807659149169922</v>
      </c>
      <c r="L13" s="9">
        <f>'[1]GMB By born_here'!$D$18</f>
        <v>18.017013549804688</v>
      </c>
      <c r="M13" s="1"/>
    </row>
    <row r="14" spans="3:13" x14ac:dyDescent="0.3">
      <c r="C14" s="1"/>
      <c r="D14" s="2" t="s">
        <v>11</v>
      </c>
      <c r="E14" s="21">
        <f>'[1]SEN By female'!C34</f>
        <v>5.5943779945373535</v>
      </c>
      <c r="F14" s="22">
        <f>'[1]SEN By female'!D34</f>
        <v>4.2193760871887207</v>
      </c>
      <c r="G14" s="22">
        <f>'[1]SEN By urban'!C34</f>
        <v>4.5046124458312988</v>
      </c>
      <c r="H14" s="22">
        <f>'[1]SEN By urban'!D34</f>
        <v>5.1015524864196777</v>
      </c>
      <c r="I14" s="22"/>
      <c r="J14" s="22"/>
      <c r="K14" s="22">
        <f>'[1]GMB By born_here'!$C$20</f>
        <v>2.5234403610229492</v>
      </c>
      <c r="L14" s="22">
        <f>'[1]GMB By born_here'!$D$20</f>
        <v>1.7307655811309814</v>
      </c>
      <c r="M14" s="1"/>
    </row>
    <row r="15" spans="3:13" x14ac:dyDescent="0.3">
      <c r="C15" s="1"/>
      <c r="D15" s="2"/>
      <c r="E15" s="21">
        <f>'[1]SEN By female'!C35</f>
        <v>7.2531371116638184</v>
      </c>
      <c r="F15" s="22">
        <f>'[1]SEN By female'!D35</f>
        <v>5.6025586128234863</v>
      </c>
      <c r="G15" s="22">
        <f>'[1]SEN By urban'!C35</f>
        <v>6.2291126251220703</v>
      </c>
      <c r="H15" s="22">
        <f>'[1]SEN By urban'!D35</f>
        <v>6.6020731925964355</v>
      </c>
      <c r="I15" s="22"/>
      <c r="J15" s="22"/>
      <c r="K15" s="22">
        <f>'[1]GMB By born_here'!$C$21</f>
        <v>6.7532200813293457</v>
      </c>
      <c r="L15" s="22">
        <f>'[1]GMB By born_here'!$D$21</f>
        <v>3.1202833652496338</v>
      </c>
      <c r="M15" s="1"/>
    </row>
    <row r="16" spans="3:13" x14ac:dyDescent="0.3">
      <c r="C16" s="1"/>
      <c r="D16" s="2" t="s">
        <v>12</v>
      </c>
      <c r="E16" s="21">
        <f>'[1]SEN By female'!C36</f>
        <v>1.7248646020889282</v>
      </c>
      <c r="F16" s="22">
        <f>'[1]SEN By female'!D36</f>
        <v>2.1475968360900879</v>
      </c>
      <c r="G16" s="22">
        <f>'[1]SEN By urban'!C36</f>
        <v>2.1222875118255615</v>
      </c>
      <c r="H16" s="22">
        <f>'[1]SEN By urban'!D36</f>
        <v>1.6641433238983154</v>
      </c>
      <c r="I16" s="22"/>
      <c r="J16" s="22"/>
      <c r="K16" s="22">
        <f>'[1]GMB By born_here'!$C$22</f>
        <v>18.583242416381836</v>
      </c>
      <c r="L16" s="22">
        <f>'[1]GMB By born_here'!$D$22</f>
        <v>13.70589542388916</v>
      </c>
      <c r="M16" s="1"/>
    </row>
    <row r="17" spans="3:13" x14ac:dyDescent="0.3">
      <c r="C17" s="1"/>
      <c r="D17" s="2"/>
      <c r="E17" s="21">
        <f>'[1]SEN By female'!C37</f>
        <v>1.4783287048339844</v>
      </c>
      <c r="F17" s="22">
        <f>'[1]SEN By female'!D37</f>
        <v>1.5462040901184082</v>
      </c>
      <c r="G17" s="22">
        <f>'[1]SEN By urban'!C37</f>
        <v>1.5838299989700317</v>
      </c>
      <c r="H17" s="22">
        <f>'[1]SEN By urban'!D37</f>
        <v>1.3356879949569702</v>
      </c>
      <c r="I17" s="22"/>
      <c r="J17" s="22"/>
      <c r="K17" s="22">
        <f>'[1]GMB By born_here'!$C$23</f>
        <v>38.122848510742188</v>
      </c>
      <c r="L17" s="22">
        <f>'[1]GMB By born_here'!$D$23</f>
        <v>17.568988800048828</v>
      </c>
      <c r="M17" s="1"/>
    </row>
    <row r="18" spans="3:13" x14ac:dyDescent="0.3">
      <c r="C18" s="1"/>
      <c r="D18" s="2" t="s">
        <v>13</v>
      </c>
      <c r="E18" s="21">
        <f>'[1]SEN By female'!C38</f>
        <v>5.5251235961914063</v>
      </c>
      <c r="F18" s="22">
        <f>'[1]SEN By female'!D38</f>
        <v>4.441704273223877</v>
      </c>
      <c r="G18" s="22">
        <f>'[1]SEN By urban'!C38</f>
        <v>5.4685330390930176</v>
      </c>
      <c r="H18" s="22">
        <f>'[1]SEN By urban'!D38</f>
        <v>4.7067098617553711</v>
      </c>
      <c r="I18" s="22"/>
      <c r="J18" s="22"/>
      <c r="K18" s="22">
        <f>'[1]GMB By born_here'!$C$24</f>
        <v>9.2953805923461914</v>
      </c>
      <c r="L18" s="22">
        <f>'[1]GMB By born_here'!$D$24</f>
        <v>9.5161285400390625</v>
      </c>
      <c r="M18" s="1"/>
    </row>
    <row r="19" spans="3:13" x14ac:dyDescent="0.3">
      <c r="C19" s="1"/>
      <c r="D19" s="2"/>
      <c r="E19" s="21">
        <f>'[1]SEN By female'!C39</f>
        <v>6.7599506378173828</v>
      </c>
      <c r="F19" s="22">
        <f>'[1]SEN By female'!D39</f>
        <v>5.7410616874694824</v>
      </c>
      <c r="G19" s="22">
        <f>'[1]SEN By urban'!C39</f>
        <v>6.7671880722045898</v>
      </c>
      <c r="H19" s="22">
        <f>'[1]SEN By urban'!D39</f>
        <v>5.9994206428527832</v>
      </c>
      <c r="I19" s="22"/>
      <c r="J19" s="22"/>
      <c r="K19" s="22">
        <f>'[1]GMB By born_here'!$C$25</f>
        <v>21.147186279296875</v>
      </c>
      <c r="L19" s="22">
        <f>'[1]GMB By born_here'!$D$25</f>
        <v>12.985525131225586</v>
      </c>
      <c r="M19" s="1"/>
    </row>
    <row r="20" spans="3:13" x14ac:dyDescent="0.3">
      <c r="C20" s="1"/>
      <c r="D20" s="2" t="s">
        <v>14</v>
      </c>
      <c r="E20" s="21">
        <f>'[1]SEN By female'!C40</f>
        <v>3.5124111175537109</v>
      </c>
      <c r="F20" s="22">
        <f>'[1]SEN By female'!D40</f>
        <v>3.1344654560089111</v>
      </c>
      <c r="G20" s="22">
        <f>'[1]SEN By urban'!C40</f>
        <v>3.1175081729888916</v>
      </c>
      <c r="H20" s="22">
        <f>'[1]SEN By urban'!D40</f>
        <v>3.4433679580688477</v>
      </c>
      <c r="I20" s="22"/>
      <c r="J20" s="22"/>
      <c r="K20" s="22">
        <f>'[1]GMB By born_here'!$C$26</f>
        <v>12.632736206054688</v>
      </c>
      <c r="L20" s="22">
        <f>'[1]GMB By born_here'!$D$26</f>
        <v>10.518177032470703</v>
      </c>
      <c r="M20" s="1"/>
    </row>
    <row r="21" spans="3:13" x14ac:dyDescent="0.3">
      <c r="C21" s="1"/>
      <c r="D21" s="2"/>
      <c r="E21" s="21">
        <f>'[1]SEN By female'!C41</f>
        <v>4.6715912818908691</v>
      </c>
      <c r="F21" s="22">
        <f>'[1]SEN By female'!D41</f>
        <v>3.9370179176330566</v>
      </c>
      <c r="G21" s="22">
        <f>'[1]SEN By urban'!C41</f>
        <v>4.0871233940124512</v>
      </c>
      <c r="H21" s="22">
        <f>'[1]SEN By urban'!D41</f>
        <v>4.407503604888916</v>
      </c>
      <c r="I21" s="22"/>
      <c r="J21" s="22"/>
      <c r="K21" s="22">
        <f>'[1]GMB By born_here'!$C$27</f>
        <v>28.783523559570313</v>
      </c>
      <c r="L21" s="22">
        <f>'[1]GMB By born_here'!$D$27</f>
        <v>14.317037582397461</v>
      </c>
      <c r="M21" s="1"/>
    </row>
    <row r="22" spans="3:13" x14ac:dyDescent="0.3">
      <c r="C22" s="1"/>
      <c r="D22" s="2" t="s">
        <v>15</v>
      </c>
      <c r="E22" s="21">
        <f>'[1]SEN By female'!C42</f>
        <v>42.494625091552734</v>
      </c>
      <c r="F22" s="22">
        <f>'[1]SEN By female'!D42</f>
        <v>54.927539825439453</v>
      </c>
      <c r="G22" s="22">
        <f>'[1]SEN By urban'!C42</f>
        <v>50.635589599609375</v>
      </c>
      <c r="H22" s="22">
        <f>'[1]SEN By urban'!D42</f>
        <v>48.531131744384766</v>
      </c>
      <c r="I22" s="22"/>
      <c r="J22" s="22"/>
      <c r="K22" s="22">
        <f>'[1]GMB By born_here'!$C$34</f>
        <v>44.713081359863281</v>
      </c>
      <c r="L22" s="22">
        <f>'[1]GMB By born_here'!$D$34</f>
        <v>53.333976745605469</v>
      </c>
      <c r="M22" s="1"/>
    </row>
    <row r="23" spans="3:13" x14ac:dyDescent="0.3">
      <c r="C23" s="1"/>
      <c r="D23" s="3"/>
      <c r="E23" s="23">
        <f>'[1]SEN By female'!C43</f>
        <v>23.835685729980469</v>
      </c>
      <c r="F23" s="24">
        <f>'[1]SEN By female'!D43</f>
        <v>23.430179595947266</v>
      </c>
      <c r="G23" s="24">
        <f>'[1]SEN By urban'!C43</f>
        <v>24.066396713256836</v>
      </c>
      <c r="H23" s="24">
        <f>'[1]SEN By urban'!D43</f>
        <v>24.680042266845703</v>
      </c>
      <c r="I23" s="24"/>
      <c r="J23" s="24"/>
      <c r="K23" s="24">
        <f>'[1]GMB By born_here'!$C$35</f>
        <v>24.965017318725586</v>
      </c>
      <c r="L23" s="24">
        <f>'[1]GMB By born_here'!$D$35</f>
        <v>26.560512542724609</v>
      </c>
      <c r="M23" s="1"/>
    </row>
    <row r="24" spans="3:13" x14ac:dyDescent="0.3">
      <c r="C24" s="1"/>
      <c r="D24" s="2" t="s">
        <v>16</v>
      </c>
      <c r="E24" s="18">
        <f>'[1]SEN By female'!C44</f>
        <v>29.364694595336914</v>
      </c>
      <c r="F24" s="9">
        <f>'[1]SEN By female'!D44</f>
        <v>10.526711463928223</v>
      </c>
      <c r="G24" s="9">
        <f>'[1]SEN By urban'!C44</f>
        <v>15.789716720581055</v>
      </c>
      <c r="H24" s="9">
        <f>'[1]SEN By urban'!D44</f>
        <v>27.218626022338867</v>
      </c>
      <c r="I24" s="9"/>
      <c r="J24" s="9"/>
      <c r="K24" s="9">
        <f>'[1]GMB By born_here'!$C$36</f>
        <v>36.243278503417969</v>
      </c>
      <c r="L24" s="9">
        <f>'[1]GMB By born_here'!$D$36</f>
        <v>41.765243530273438</v>
      </c>
      <c r="M24" s="1"/>
    </row>
    <row r="25" spans="3:13" x14ac:dyDescent="0.3">
      <c r="C25" s="1"/>
      <c r="D25" s="2" t="s">
        <v>23</v>
      </c>
      <c r="E25" s="18">
        <f>'[1]SEN By female'!C46</f>
        <v>29.458766937255859</v>
      </c>
      <c r="F25" s="9">
        <f>'[1]SEN By female'!D46</f>
        <v>10.545706748962402</v>
      </c>
      <c r="G25" s="9">
        <f>'[1]SEN By urban'!C46</f>
        <v>15.853248596191406</v>
      </c>
      <c r="H25" s="9">
        <f>'[1]SEN By urban'!D46</f>
        <v>27.251296997070313</v>
      </c>
      <c r="I25" s="9"/>
      <c r="J25" s="9"/>
      <c r="K25" s="9">
        <f>'[1]GMB By born_here'!$C$42</f>
        <v>20.477895736694336</v>
      </c>
      <c r="L25" s="9">
        <f>'[1]GMB By born_here'!$D$42</f>
        <v>23.60334587097168</v>
      </c>
      <c r="M25" s="1"/>
    </row>
    <row r="26" spans="3:13" x14ac:dyDescent="0.3">
      <c r="C26" s="1"/>
      <c r="D26" s="2" t="s">
        <v>19</v>
      </c>
      <c r="E26" s="18">
        <f>'[1]SEN By female'!C48</f>
        <v>26.248735427856445</v>
      </c>
      <c r="F26" s="9">
        <f>'[1]SEN By female'!D48</f>
        <v>17.312015533447266</v>
      </c>
      <c r="G26" s="9">
        <f>'[1]SEN By urban'!C48</f>
        <v>31.00444221496582</v>
      </c>
      <c r="H26" s="9">
        <f>'[1]SEN By urban'!D48</f>
        <v>13.036133766174316</v>
      </c>
      <c r="I26" s="9"/>
      <c r="J26" s="9"/>
      <c r="K26" s="9">
        <f>'[1]GMB By born_here'!$C$52</f>
        <v>19.352727890014648</v>
      </c>
      <c r="L26" s="9">
        <f>'[1]GMB By born_here'!$D$52</f>
        <v>7.1222681999206543</v>
      </c>
      <c r="M26" s="1"/>
    </row>
    <row r="27" spans="3:13" x14ac:dyDescent="0.3">
      <c r="C27" s="1"/>
      <c r="D27" s="1" t="s">
        <v>20</v>
      </c>
      <c r="E27" s="18"/>
      <c r="F27" s="9"/>
      <c r="G27" s="9"/>
      <c r="H27" s="9"/>
      <c r="I27" s="9"/>
      <c r="J27" s="9"/>
      <c r="K27" s="9">
        <f>'[1]GMB By born_here'!$C$46</f>
        <v>5.2198300361633301</v>
      </c>
      <c r="L27" s="9">
        <f>'[1]GMB By born_here'!$D$46</f>
        <v>8.9244976043701172</v>
      </c>
      <c r="M27" s="1"/>
    </row>
    <row r="28" spans="3:13" x14ac:dyDescent="0.3">
      <c r="C28" s="1"/>
      <c r="D28" s="2" t="s">
        <v>30</v>
      </c>
      <c r="E28" s="18"/>
      <c r="F28" s="9"/>
      <c r="G28" s="9"/>
      <c r="H28" s="9"/>
      <c r="I28" s="9"/>
      <c r="J28" s="9"/>
      <c r="K28" s="9">
        <f>+SUM('[1]GMB By born_here'!$C$54,'[1]GMB By born_here'!$C$56,'[1]GMB By born_here'!$C$58,'[1]GMB By born_here'!$C$60,'[1]GMB By born_here'!$C$62,'[1]GMB By born_here'!$C$64,'[1]GMB By born_here'!$C$66,'[1]GMB By born_here'!$C$44)</f>
        <v>7.8989802226424217</v>
      </c>
      <c r="L28" s="9">
        <f>+SUM('[1]GMB By born_here'!$D$54,'[1]GMB By born_here'!$D$56,'[1]GMB By born_here'!$D$58,'[1]GMB By born_here'!$D$60,'[1]GMB By born_here'!$D$62,'[1]GMB By born_here'!$D$64,'[1]GMB By born_here'!$D$66,'[1]GMB By born_here'!$D$44)</f>
        <v>7.1901636533439159</v>
      </c>
      <c r="M28" s="1"/>
    </row>
    <row r="29" spans="3:13" x14ac:dyDescent="0.3">
      <c r="C29" s="1"/>
      <c r="D29" s="2" t="s">
        <v>17</v>
      </c>
      <c r="E29" s="18">
        <f>'[1]SEN By female'!C50</f>
        <v>44.292495727539063</v>
      </c>
      <c r="F29" s="9">
        <f>'[1]SEN By female'!D50</f>
        <v>72.142280578613281</v>
      </c>
      <c r="G29" s="9">
        <f>'[1]SEN By urban'!C50</f>
        <v>53.142307281494141</v>
      </c>
      <c r="H29" s="9">
        <f>'[1]SEN By urban'!D50</f>
        <v>59.712570190429688</v>
      </c>
      <c r="I29" s="9"/>
      <c r="J29" s="9"/>
      <c r="K29" s="9">
        <f>+'[1]GMB By born_here'!$C$48</f>
        <v>43.589447021484375</v>
      </c>
      <c r="L29" s="9">
        <f>+'[1]GMB By born_here'!$D$48</f>
        <v>50.928600311279297</v>
      </c>
      <c r="M29" s="1"/>
    </row>
    <row r="30" spans="3:13" x14ac:dyDescent="0.3">
      <c r="C30" s="1"/>
      <c r="D30" s="3" t="s">
        <v>18</v>
      </c>
      <c r="E30" s="19"/>
      <c r="F30" s="10"/>
      <c r="G30" s="10"/>
      <c r="H30" s="10"/>
      <c r="I30" s="10"/>
      <c r="J30" s="10"/>
      <c r="K30" s="10">
        <f>'[1]GMB By born_here'!$C$50</f>
        <v>3.4611203670501709</v>
      </c>
      <c r="L30" s="10">
        <f>'[1]GMB By born_here'!$D$50</f>
        <v>2.2311232089996338</v>
      </c>
      <c r="M30" s="1"/>
    </row>
    <row r="31" spans="3:13" x14ac:dyDescent="0.3">
      <c r="C31" s="1"/>
      <c r="D31" s="2" t="s">
        <v>22</v>
      </c>
      <c r="E31" s="1"/>
      <c r="F31" s="1"/>
      <c r="G31" s="1"/>
      <c r="H31" s="1"/>
      <c r="I31" s="1"/>
      <c r="J31" s="1"/>
      <c r="K31" s="1"/>
      <c r="L31" s="1"/>
      <c r="M31" s="1"/>
    </row>
    <row r="32" spans="3:13" x14ac:dyDescent="0.3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4" spans="5:8" x14ac:dyDescent="0.3">
      <c r="E34" s="31">
        <f>+SUM(E25:E29)</f>
        <v>99.999998092651367</v>
      </c>
      <c r="F34" s="31">
        <f t="shared" ref="F34:H34" si="0">+SUM(F25:F29)</f>
        <v>100.00000286102295</v>
      </c>
      <c r="G34" s="31">
        <f t="shared" si="0"/>
        <v>99.999998092651367</v>
      </c>
      <c r="H34" s="31">
        <f t="shared" si="0"/>
        <v>100.00000095367432</v>
      </c>
    </row>
  </sheetData>
  <mergeCells count="3">
    <mergeCell ref="E4:F4"/>
    <mergeCell ref="G4:H4"/>
    <mergeCell ref="K4:L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0FE75-12F0-4D1F-A279-2DFAE460E125}">
  <dimension ref="C3:M32"/>
  <sheetViews>
    <sheetView topLeftCell="A4" workbookViewId="0">
      <selection activeCell="D5" sqref="D5:H30"/>
    </sheetView>
  </sheetViews>
  <sheetFormatPr defaultRowHeight="14.4" x14ac:dyDescent="0.3"/>
  <cols>
    <col min="4" max="4" width="20.77734375" bestFit="1" customWidth="1"/>
  </cols>
  <sheetData>
    <row r="3" spans="3:13" x14ac:dyDescent="0.3"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3:13" x14ac:dyDescent="0.3">
      <c r="C4" s="1"/>
      <c r="D4" s="16"/>
      <c r="E4" s="32" t="s">
        <v>37</v>
      </c>
      <c r="F4" s="33"/>
      <c r="G4" s="33" t="s">
        <v>31</v>
      </c>
      <c r="H4" s="33"/>
      <c r="I4" s="17"/>
      <c r="J4" s="17"/>
      <c r="K4" s="33" t="s">
        <v>38</v>
      </c>
      <c r="L4" s="33"/>
      <c r="M4" s="1"/>
    </row>
    <row r="5" spans="3:13" x14ac:dyDescent="0.3">
      <c r="C5" s="1"/>
      <c r="D5" s="16"/>
      <c r="E5" s="6" t="s">
        <v>33</v>
      </c>
      <c r="F5" s="16" t="s">
        <v>34</v>
      </c>
      <c r="G5" s="16" t="s">
        <v>35</v>
      </c>
      <c r="H5" s="16" t="s">
        <v>36</v>
      </c>
      <c r="I5" s="16"/>
      <c r="J5" s="16"/>
      <c r="K5" s="16" t="s">
        <v>32</v>
      </c>
      <c r="L5" s="16" t="s">
        <v>39</v>
      </c>
      <c r="M5" s="1"/>
    </row>
    <row r="6" spans="3:13" x14ac:dyDescent="0.3">
      <c r="C6" s="1"/>
      <c r="D6" s="2" t="s">
        <v>3</v>
      </c>
      <c r="E6" s="18">
        <f>'[1]GMB By female'!$C$2</f>
        <v>61.367679595947266</v>
      </c>
      <c r="F6" s="9">
        <f>'[1]GMB By female'!$D$2</f>
        <v>62.819187164306641</v>
      </c>
      <c r="G6" s="9">
        <f>'[1]GMB By urban'!$C$2</f>
        <v>100</v>
      </c>
      <c r="H6" s="9">
        <f>'[1]GMB By urban'!$D$2</f>
        <v>0</v>
      </c>
      <c r="I6" s="9"/>
      <c r="J6" s="9"/>
      <c r="K6" s="9">
        <f>'[1]GMB By born_here'!$C$2</f>
        <v>61.085651397705078</v>
      </c>
      <c r="L6" s="9">
        <f>'[1]GMB By born_here'!$D$2</f>
        <v>77.431350708007813</v>
      </c>
      <c r="M6" s="1"/>
    </row>
    <row r="7" spans="3:13" x14ac:dyDescent="0.3">
      <c r="C7" s="1"/>
      <c r="D7" s="2" t="s">
        <v>4</v>
      </c>
      <c r="E7" s="18">
        <f>'[1]GMB By female'!$C$6</f>
        <v>100</v>
      </c>
      <c r="F7" s="9">
        <f>'[1]GMB By female'!$D$6</f>
        <v>0</v>
      </c>
      <c r="G7" s="9">
        <f>'[1]GMB By urban'!$C$6</f>
        <v>51.141689300537109</v>
      </c>
      <c r="H7" s="9">
        <f>'[1]GMB By urban'!$D$6</f>
        <v>52.681156158447266</v>
      </c>
      <c r="I7" s="9"/>
      <c r="J7" s="9"/>
      <c r="K7" s="9">
        <f>'[1]GMB By born_here'!$C$6</f>
        <v>52.1495361328125</v>
      </c>
      <c r="L7" s="9">
        <f>'[1]GMB By born_here'!$D$6</f>
        <v>45.098834991455078</v>
      </c>
      <c r="M7" s="1"/>
    </row>
    <row r="8" spans="3:13" x14ac:dyDescent="0.3">
      <c r="C8" s="1"/>
      <c r="D8" s="3" t="s">
        <v>5</v>
      </c>
      <c r="E8" s="19">
        <f>'[1]GMB By female'!$C$8</f>
        <v>94.758064270019531</v>
      </c>
      <c r="F8" s="10">
        <f>'[1]GMB By female'!$D$8</f>
        <v>93.162498474121094</v>
      </c>
      <c r="G8" s="10">
        <f>'[1]GMB By urban'!$C$8</f>
        <v>92.499702453613281</v>
      </c>
      <c r="H8" s="10">
        <f>'[1]GMB By urban'!$D$8</f>
        <v>96.422859191894531</v>
      </c>
      <c r="I8" s="10"/>
      <c r="J8" s="10"/>
      <c r="K8" s="10">
        <f>'[1]GMB By born_here'!$C$8</f>
        <v>100</v>
      </c>
      <c r="L8" s="10">
        <f>'[1]GMB By born_here'!$D$8</f>
        <v>0</v>
      </c>
      <c r="M8" s="1"/>
    </row>
    <row r="9" spans="3:13" x14ac:dyDescent="0.3">
      <c r="C9" s="1"/>
      <c r="D9" s="2" t="s">
        <v>6</v>
      </c>
      <c r="E9" s="18">
        <f>'[1]GMB By female'!$C$10</f>
        <v>40.877422332763672</v>
      </c>
      <c r="F9" s="9">
        <f>'[1]GMB By female'!$D$10</f>
        <v>34.593738555908203</v>
      </c>
      <c r="G9" s="9">
        <f>'[1]GMB By urban'!$C$10</f>
        <v>28.443748474121094</v>
      </c>
      <c r="H9" s="9">
        <f>'[1]GMB By urban'!$D$10</f>
        <v>53.492622375488281</v>
      </c>
      <c r="I9" s="9"/>
      <c r="J9" s="9"/>
      <c r="K9" s="9">
        <f>'[1]GMB By born_here'!$C$10</f>
        <v>36.693206787109375</v>
      </c>
      <c r="L9" s="9">
        <f>'[1]GMB By born_here'!$D$10</f>
        <v>55.067588806152344</v>
      </c>
      <c r="M9" s="1"/>
    </row>
    <row r="10" spans="3:13" x14ac:dyDescent="0.3">
      <c r="C10" s="1"/>
      <c r="D10" s="2" t="s">
        <v>7</v>
      </c>
      <c r="E10" s="18">
        <f>'[1]GMB By female'!$C$12</f>
        <v>27.878677368164063</v>
      </c>
      <c r="F10" s="9">
        <f>'[1]GMB By female'!$D$12</f>
        <v>28.372470855712891</v>
      </c>
      <c r="G10" s="9">
        <f>'[1]GMB By urban'!$C$12</f>
        <v>28.91099739074707</v>
      </c>
      <c r="H10" s="9">
        <f>'[1]GMB By urban'!$D$12</f>
        <v>26.795570373535156</v>
      </c>
      <c r="I10" s="9"/>
      <c r="J10" s="9"/>
      <c r="K10" s="9">
        <f>'[1]GMB By born_here'!$C$12</f>
        <v>28.281024932861328</v>
      </c>
      <c r="L10" s="9">
        <f>'[1]GMB By born_here'!$D$12</f>
        <v>25.675424575805664</v>
      </c>
      <c r="M10" s="1"/>
    </row>
    <row r="11" spans="3:13" x14ac:dyDescent="0.3">
      <c r="C11" s="1"/>
      <c r="D11" s="2" t="s">
        <v>8</v>
      </c>
      <c r="E11" s="18">
        <f>'[1]GMB By female'!$C$14</f>
        <v>23.944292068481445</v>
      </c>
      <c r="F11" s="9">
        <f>'[1]GMB By female'!$D$14</f>
        <v>26.588739395141602</v>
      </c>
      <c r="G11" s="9">
        <f>'[1]GMB By urban'!$C$14</f>
        <v>31.284406661987305</v>
      </c>
      <c r="H11" s="9">
        <f>'[1]GMB By urban'!$D$14</f>
        <v>15.134303092956543</v>
      </c>
      <c r="I11" s="9"/>
      <c r="J11" s="9"/>
      <c r="K11" s="9">
        <f>'[1]GMB By born_here'!$C$14</f>
        <v>25.993709564208984</v>
      </c>
      <c r="L11" s="9">
        <f>'[1]GMB By born_here'!$D$14</f>
        <v>13.703222274780273</v>
      </c>
      <c r="M11" s="1"/>
    </row>
    <row r="12" spans="3:13" x14ac:dyDescent="0.3">
      <c r="C12" s="1"/>
      <c r="D12" s="3" t="s">
        <v>9</v>
      </c>
      <c r="E12" s="19">
        <f>'[1]GMB By female'!$C$16</f>
        <v>7.2996072769165039</v>
      </c>
      <c r="F12" s="10">
        <f>'[1]GMB By female'!$D$16</f>
        <v>10.445051193237305</v>
      </c>
      <c r="G12" s="10">
        <f>'[1]GMB By urban'!$C$16</f>
        <v>11.360847473144531</v>
      </c>
      <c r="H12" s="10">
        <f>'[1]GMB By urban'!$D$16</f>
        <v>4.5775036811828613</v>
      </c>
      <c r="I12" s="10"/>
      <c r="J12" s="10"/>
      <c r="K12" s="10">
        <f>'[1]GMB By born_here'!$C$16</f>
        <v>9.0320577621459961</v>
      </c>
      <c r="L12" s="10">
        <f>'[1]GMB By born_here'!$D$16</f>
        <v>5.553764820098877</v>
      </c>
      <c r="M12" s="1"/>
    </row>
    <row r="13" spans="3:13" x14ac:dyDescent="0.3">
      <c r="C13" s="1"/>
      <c r="D13" s="20" t="s">
        <v>10</v>
      </c>
      <c r="E13" s="18">
        <f>'[1]GMB By female'!$C$18</f>
        <v>15.353023529052734</v>
      </c>
      <c r="F13" s="9">
        <f>'[1]GMB By female'!$D$18</f>
        <v>25.329183578491211</v>
      </c>
      <c r="G13" s="9">
        <f>'[1]GMB By urban'!$C$18</f>
        <v>25.202207565307617</v>
      </c>
      <c r="H13" s="9">
        <f>'[1]GMB By urban'!$D$18</f>
        <v>13.197819709777832</v>
      </c>
      <c r="I13" s="9"/>
      <c r="J13" s="9"/>
      <c r="K13" s="9">
        <f>'[1]GMB By born_here'!$C$18</f>
        <v>20.807659149169922</v>
      </c>
      <c r="L13" s="9">
        <f>'[1]GMB By born_here'!$D$18</f>
        <v>18.017013549804688</v>
      </c>
      <c r="M13" s="1"/>
    </row>
    <row r="14" spans="3:13" x14ac:dyDescent="0.3">
      <c r="C14" s="1"/>
      <c r="D14" s="2" t="s">
        <v>11</v>
      </c>
      <c r="E14" s="21">
        <f>'[1]GMB By female'!$C$20</f>
        <v>1.8437163829803467</v>
      </c>
      <c r="F14" s="22">
        <f>'[1]GMB By female'!$D$20</f>
        <v>3.0270905494689941</v>
      </c>
      <c r="G14" s="22">
        <f>'[1]GMB By urban'!$C$20</f>
        <v>2.635106086730957</v>
      </c>
      <c r="H14" s="22">
        <f>'[1]GMB By urban'!$D$20</f>
        <v>2.1951897144317627</v>
      </c>
      <c r="I14" s="22"/>
      <c r="J14" s="22"/>
      <c r="K14" s="22">
        <f>'[1]GMB By born_here'!$C$20</f>
        <v>2.5234403610229492</v>
      </c>
      <c r="L14" s="22">
        <f>'[1]GMB By born_here'!$D$20</f>
        <v>1.7307655811309814</v>
      </c>
      <c r="M14" s="1"/>
    </row>
    <row r="15" spans="3:13" x14ac:dyDescent="0.3">
      <c r="C15" s="1"/>
      <c r="D15" s="2"/>
      <c r="E15" s="21">
        <f>'[1]GMB By female'!$C$21</f>
        <v>4.3468904495239258</v>
      </c>
      <c r="F15" s="22">
        <f>'[1]GMB By female'!$D$21</f>
        <v>8.0108108520507813</v>
      </c>
      <c r="G15" s="22">
        <f>'[1]GMB By urban'!$C$21</f>
        <v>6.0567874908447266</v>
      </c>
      <c r="H15" s="22">
        <f>'[1]GMB By urban'!$D$21</f>
        <v>7.2957010269165039</v>
      </c>
      <c r="I15" s="22"/>
      <c r="J15" s="22"/>
      <c r="K15" s="22">
        <f>'[1]GMB By born_here'!$C$21</f>
        <v>6.7532200813293457</v>
      </c>
      <c r="L15" s="22">
        <f>'[1]GMB By born_here'!$D$21</f>
        <v>3.1202833652496338</v>
      </c>
      <c r="M15" s="1"/>
    </row>
    <row r="16" spans="3:13" x14ac:dyDescent="0.3">
      <c r="C16" s="1"/>
      <c r="D16" s="2" t="s">
        <v>12</v>
      </c>
      <c r="E16" s="21">
        <f>'[1]GMB By female'!$C$22</f>
        <v>12.819591522216797</v>
      </c>
      <c r="F16" s="22">
        <f>'[1]GMB By female'!$D$22</f>
        <v>20.562728881835938</v>
      </c>
      <c r="G16" s="22">
        <f>'[1]GMB By urban'!$C$22</f>
        <v>18.73314094543457</v>
      </c>
      <c r="H16" s="22">
        <f>'[1]GMB By urban'!$D$22</f>
        <v>17.324878692626953</v>
      </c>
      <c r="I16" s="22"/>
      <c r="J16" s="22"/>
      <c r="K16" s="22">
        <f>'[1]GMB By born_here'!$C$22</f>
        <v>18.583242416381836</v>
      </c>
      <c r="L16" s="22">
        <f>'[1]GMB By born_here'!$D$22</f>
        <v>13.70589542388916</v>
      </c>
      <c r="M16" s="1"/>
    </row>
    <row r="17" spans="3:13" x14ac:dyDescent="0.3">
      <c r="C17" s="1"/>
      <c r="D17" s="2"/>
      <c r="E17" s="21">
        <f>'[1]GMB By female'!$C$23</f>
        <v>23.014299392700195</v>
      </c>
      <c r="F17" s="22">
        <f>'[1]GMB By female'!$D$23</f>
        <v>41.595516204833984</v>
      </c>
      <c r="G17" s="22">
        <f>'[1]GMB By urban'!$C$23</f>
        <v>37.165657043457031</v>
      </c>
      <c r="H17" s="22">
        <f>'[1]GMB By urban'!$D$23</f>
        <v>37.978858947753906</v>
      </c>
      <c r="I17" s="22"/>
      <c r="J17" s="22"/>
      <c r="K17" s="22">
        <f>'[1]GMB By born_here'!$C$23</f>
        <v>38.122848510742188</v>
      </c>
      <c r="L17" s="22">
        <f>'[1]GMB By born_here'!$D$23</f>
        <v>17.568988800048828</v>
      </c>
      <c r="M17" s="1"/>
    </row>
    <row r="18" spans="3:13" x14ac:dyDescent="0.3">
      <c r="C18" s="1"/>
      <c r="D18" s="2" t="s">
        <v>13</v>
      </c>
      <c r="E18" s="21">
        <f>'[1]GMB By female'!$C$24</f>
        <v>6.1129631996154785</v>
      </c>
      <c r="F18" s="22">
        <f>'[1]GMB By female'!$D$24</f>
        <v>13.633706092834473</v>
      </c>
      <c r="G18" s="22">
        <f>'[1]GMB By urban'!$C$24</f>
        <v>11.396101951599121</v>
      </c>
      <c r="H18" s="22">
        <f>'[1]GMB By urban'!$D$24</f>
        <v>6.6543340682983398</v>
      </c>
      <c r="I18" s="22"/>
      <c r="J18" s="22"/>
      <c r="K18" s="22">
        <f>'[1]GMB By born_here'!$C$24</f>
        <v>9.2953805923461914</v>
      </c>
      <c r="L18" s="22">
        <f>'[1]GMB By born_here'!$D$24</f>
        <v>9.5161285400390625</v>
      </c>
      <c r="M18" s="1"/>
    </row>
    <row r="19" spans="3:13" x14ac:dyDescent="0.3">
      <c r="C19" s="1"/>
      <c r="D19" s="2"/>
      <c r="E19" s="21">
        <f>'[1]GMB By female'!$C$25</f>
        <v>14.464033126831055</v>
      </c>
      <c r="F19" s="22">
        <f>'[1]GMB By female'!$D$25</f>
        <v>26.092550277709961</v>
      </c>
      <c r="G19" s="22">
        <f>'[1]GMB By urban'!$C$25</f>
        <v>25.07017707824707</v>
      </c>
      <c r="H19" s="22">
        <f>'[1]GMB By urban'!$D$25</f>
        <v>12.233457565307617</v>
      </c>
      <c r="I19" s="22"/>
      <c r="J19" s="22"/>
      <c r="K19" s="22">
        <f>'[1]GMB By born_here'!$C$25</f>
        <v>21.147186279296875</v>
      </c>
      <c r="L19" s="22">
        <f>'[1]GMB By born_here'!$D$25</f>
        <v>12.985525131225586</v>
      </c>
      <c r="M19" s="1"/>
    </row>
    <row r="20" spans="3:13" x14ac:dyDescent="0.3">
      <c r="C20" s="1"/>
      <c r="D20" s="2" t="s">
        <v>14</v>
      </c>
      <c r="E20" s="21">
        <f>'[1]GMB By female'!$C$26</f>
        <v>7.5363898277282715</v>
      </c>
      <c r="F20" s="22">
        <f>'[1]GMB By female'!$D$26</f>
        <v>16.926088333129883</v>
      </c>
      <c r="G20" s="22">
        <f>'[1]GMB By urban'!$C$26</f>
        <v>14.40928840637207</v>
      </c>
      <c r="H20" s="22">
        <f>'[1]GMB By urban'!$D$26</f>
        <v>9.3606243133544922</v>
      </c>
      <c r="I20" s="22"/>
      <c r="J20" s="22"/>
      <c r="K20" s="22">
        <f>'[1]GMB By born_here'!$C$26</f>
        <v>12.632736206054688</v>
      </c>
      <c r="L20" s="22">
        <f>'[1]GMB By born_here'!$D$26</f>
        <v>10.518177032470703</v>
      </c>
      <c r="M20" s="1"/>
    </row>
    <row r="21" spans="3:13" x14ac:dyDescent="0.3">
      <c r="C21" s="1"/>
      <c r="D21" s="2"/>
      <c r="E21" s="21">
        <f>'[1]GMB By female'!$C$27</f>
        <v>16.871732711791992</v>
      </c>
      <c r="F21" s="22">
        <f>'[1]GMB By female'!$D$27</f>
        <v>34.513839721679688</v>
      </c>
      <c r="G21" s="22">
        <f>'[1]GMB By urban'!$C$27</f>
        <v>30.830114364624023</v>
      </c>
      <c r="H21" s="22">
        <f>'[1]GMB By urban'!$D$27</f>
        <v>22.336433410644531</v>
      </c>
      <c r="I21" s="22"/>
      <c r="J21" s="22"/>
      <c r="K21" s="22">
        <f>'[1]GMB By born_here'!$C$27</f>
        <v>28.783523559570313</v>
      </c>
      <c r="L21" s="22">
        <f>'[1]GMB By born_here'!$D$27</f>
        <v>14.317037582397461</v>
      </c>
      <c r="M21" s="1"/>
    </row>
    <row r="22" spans="3:13" x14ac:dyDescent="0.3">
      <c r="C22" s="1"/>
      <c r="D22" s="2" t="s">
        <v>15</v>
      </c>
      <c r="E22" s="21">
        <f>'[1]GMB By female'!$C$34</f>
        <v>37.325592041015625</v>
      </c>
      <c r="F22" s="22">
        <f>'[1]GMB By female'!$D$34</f>
        <v>52.518398284912109</v>
      </c>
      <c r="G22" s="22">
        <f>'[1]GMB By urban'!$C$34</f>
        <v>47.022254943847656</v>
      </c>
      <c r="H22" s="22">
        <f>'[1]GMB By urban'!$D$34</f>
        <v>42.602062225341797</v>
      </c>
      <c r="I22" s="22"/>
      <c r="J22" s="22"/>
      <c r="K22" s="22">
        <f>'[1]GMB By born_here'!$C$34</f>
        <v>44.713081359863281</v>
      </c>
      <c r="L22" s="22">
        <f>'[1]GMB By born_here'!$D$34</f>
        <v>53.333976745605469</v>
      </c>
      <c r="M22" s="1"/>
    </row>
    <row r="23" spans="3:13" x14ac:dyDescent="0.3">
      <c r="C23" s="1"/>
      <c r="D23" s="3"/>
      <c r="E23" s="23">
        <f>'[1]GMB By female'!$C$35</f>
        <v>22.621528625488281</v>
      </c>
      <c r="F23" s="24">
        <f>'[1]GMB By female'!$D$35</f>
        <v>25.194183349609375</v>
      </c>
      <c r="G23" s="24">
        <f>'[1]GMB By urban'!$C$35</f>
        <v>24.607566833496094</v>
      </c>
      <c r="H23" s="24">
        <f>'[1]GMB By urban'!$D$35</f>
        <v>25.850603103637695</v>
      </c>
      <c r="I23" s="24"/>
      <c r="J23" s="24"/>
      <c r="K23" s="24">
        <f>'[1]GMB By born_here'!$C$35</f>
        <v>24.965017318725586</v>
      </c>
      <c r="L23" s="24">
        <f>'[1]GMB By born_here'!$D$35</f>
        <v>26.560512542724609</v>
      </c>
      <c r="M23" s="1"/>
    </row>
    <row r="24" spans="3:13" x14ac:dyDescent="0.3">
      <c r="C24" s="1"/>
      <c r="D24" s="2" t="s">
        <v>16</v>
      </c>
      <c r="E24" s="18">
        <f>'[1]GMB By female'!$C$36</f>
        <v>39.925132751464844</v>
      </c>
      <c r="F24" s="9">
        <f>'[1]GMB By female'!$D$36</f>
        <v>32.985912322998047</v>
      </c>
      <c r="G24" s="9">
        <f>'[1]GMB By urban'!$C$36</f>
        <v>36.7308349609375</v>
      </c>
      <c r="H24" s="9">
        <f>'[1]GMB By urban'!$D$36</f>
        <v>36.320713043212891</v>
      </c>
      <c r="I24" s="9"/>
      <c r="J24" s="9"/>
      <c r="K24" s="9">
        <f>'[1]GMB By born_here'!$C$36</f>
        <v>36.243278503417969</v>
      </c>
      <c r="L24" s="9">
        <f>'[1]GMB By born_here'!$D$36</f>
        <v>41.765243530273438</v>
      </c>
      <c r="M24" s="1"/>
    </row>
    <row r="25" spans="3:13" x14ac:dyDescent="0.3">
      <c r="C25" s="1"/>
      <c r="D25" s="2" t="s">
        <v>23</v>
      </c>
      <c r="E25" s="18">
        <f>'[1]GMB By female'!$C$42</f>
        <v>16.085508346557617</v>
      </c>
      <c r="F25" s="9">
        <f>'[1]GMB By female'!$D$42</f>
        <v>25.573556900024414</v>
      </c>
      <c r="G25" s="9">
        <f>'[1]GMB By urban'!$C$42</f>
        <v>22.132242202758789</v>
      </c>
      <c r="H25" s="9">
        <f>'[1]GMB By urban'!$D$42</f>
        <v>18.266237258911133</v>
      </c>
      <c r="I25" s="9"/>
      <c r="J25" s="9"/>
      <c r="K25" s="9">
        <f>'[1]GMB By born_here'!$C$42</f>
        <v>20.477895736694336</v>
      </c>
      <c r="L25" s="9">
        <f>'[1]GMB By born_here'!$D$42</f>
        <v>23.60334587097168</v>
      </c>
      <c r="M25" s="1"/>
    </row>
    <row r="26" spans="3:13" x14ac:dyDescent="0.3">
      <c r="C26" s="1"/>
      <c r="D26" s="2" t="s">
        <v>19</v>
      </c>
      <c r="E26" s="18">
        <f>'[1]GMB By female'!$C$52</f>
        <v>17.893819808959961</v>
      </c>
      <c r="F26" s="9">
        <f>'[1]GMB By female'!$D$52</f>
        <v>19.392732620239258</v>
      </c>
      <c r="G26" s="9">
        <f>'[1]GMB By urban'!$C$52</f>
        <v>20.865806579589844</v>
      </c>
      <c r="H26" s="9">
        <f>'[1]GMB By urban'!$D$52</f>
        <v>14.938308715820313</v>
      </c>
      <c r="I26" s="9"/>
      <c r="J26" s="9"/>
      <c r="K26" s="9">
        <f>'[1]GMB By born_here'!$C$52</f>
        <v>19.352727890014648</v>
      </c>
      <c r="L26" s="9">
        <f>'[1]GMB By born_here'!$D$52</f>
        <v>7.1222681999206543</v>
      </c>
      <c r="M26" s="1"/>
    </row>
    <row r="27" spans="3:13" x14ac:dyDescent="0.3">
      <c r="C27" s="1"/>
      <c r="D27" s="1" t="s">
        <v>20</v>
      </c>
      <c r="E27" s="18">
        <f>'[1]GMB By female'!$C$46</f>
        <v>10.190922737121582</v>
      </c>
      <c r="F27" s="9">
        <f>'[1]GMB By female'!$D$46</f>
        <v>0.35472628474235535</v>
      </c>
      <c r="G27" s="9">
        <f>'[1]GMB By urban'!$C$46</f>
        <v>7.1163134574890137</v>
      </c>
      <c r="H27" s="9">
        <f>'[1]GMB By urban'!$D$46</f>
        <v>2.7037622928619385</v>
      </c>
      <c r="I27" s="9"/>
      <c r="J27" s="9"/>
      <c r="K27" s="9">
        <f>'[1]GMB By born_here'!$C$46</f>
        <v>5.2198300361633301</v>
      </c>
      <c r="L27" s="9">
        <f>'[1]GMB By born_here'!$D$46</f>
        <v>8.9244976043701172</v>
      </c>
      <c r="M27" s="1"/>
    </row>
    <row r="28" spans="3:13" x14ac:dyDescent="0.3">
      <c r="C28" s="1"/>
      <c r="D28" s="2" t="s">
        <v>30</v>
      </c>
      <c r="E28" s="18">
        <f>+SUM('[1]GMB By female'!$C$54,'[1]GMB By female'!$C$56,'[1]GMB By female'!$C$58,'[1]GMB By female'!$C$60,'[1]GMB By female'!$C$62,'[1]GMB By female'!$C$64,'[1]GMB By female'!$C$66,'[1]GMB By female'!$C$44)</f>
        <v>11.506964552914724</v>
      </c>
      <c r="F28" s="9">
        <f>+SUM('[1]GMB By female'!$D$54,'[1]GMB By female'!$D$56,'[1]GMB By female'!$D$58,'[1]GMB By female'!$D$60,'[1]GMB By female'!$D$62,'[1]GMB By female'!$D$64,'[1]GMB By female'!$D$66,'[1]GMB By female'!$D$44)</f>
        <v>3.9447734802961349</v>
      </c>
      <c r="G28" s="9">
        <f>+SUM('[1]GMB By urban'!$C$54,'[1]GMB By urban'!$C$56,'[1]GMB By urban'!$C$58,'[1]GMB By urban'!$C$60,'[1]GMB By urban'!$C$62,'[1]GMB By urban'!$C$64,'[1]GMB By urban'!$C$66,'[1]GMB By urban'!$C$44)</f>
        <v>3.7141842595301569</v>
      </c>
      <c r="H28" s="9">
        <f>+SUM('[1]GMB By urban'!$D$54,'[1]GMB By urban'!$D$56,'[1]GMB By urban'!$D$58,'[1]GMB By urban'!$D$60,'[1]GMB By urban'!$D$62,'[1]GMB By urban'!$D$64,'[1]GMB By urban'!$D$66,'[1]GMB By urban'!$D$44)</f>
        <v>14.63431079685688</v>
      </c>
      <c r="I28" s="9"/>
      <c r="J28" s="9"/>
      <c r="K28" s="9">
        <f>+SUM('[1]GMB By born_here'!$C$54,'[1]GMB By born_here'!$C$56,'[1]GMB By born_here'!$C$58,'[1]GMB By born_here'!$C$60,'[1]GMB By born_here'!$C$62,'[1]GMB By born_here'!$C$64,'[1]GMB By born_here'!$C$66,'[1]GMB By born_here'!$C$44)</f>
        <v>7.8989802226424217</v>
      </c>
      <c r="L28" s="9">
        <f>+SUM('[1]GMB By born_here'!$D$54,'[1]GMB By born_here'!$D$56,'[1]GMB By born_here'!$D$58,'[1]GMB By born_here'!$D$60,'[1]GMB By born_here'!$D$62,'[1]GMB By born_here'!$D$64,'[1]GMB By born_here'!$D$66,'[1]GMB By born_here'!$D$44)</f>
        <v>7.1901636533439159</v>
      </c>
      <c r="M28" s="1"/>
    </row>
    <row r="29" spans="3:13" x14ac:dyDescent="0.3">
      <c r="C29" s="1"/>
      <c r="D29" s="2" t="s">
        <v>17</v>
      </c>
      <c r="E29" s="18">
        <f>+'[1]GMB By female'!$C$48</f>
        <v>41.258724212646484</v>
      </c>
      <c r="F29" s="9">
        <f>+'[1]GMB By female'!$D$48</f>
        <v>47.000827789306641</v>
      </c>
      <c r="G29" s="9">
        <f>+'[1]GMB By urban'!$C$48</f>
        <v>41.840980529785156</v>
      </c>
      <c r="H29" s="9">
        <f>+'[1]GMB By urban'!$D$48</f>
        <v>47.613761901855469</v>
      </c>
      <c r="I29" s="9"/>
      <c r="J29" s="9"/>
      <c r="K29" s="9">
        <f>+'[1]GMB By born_here'!$C$48</f>
        <v>43.589447021484375</v>
      </c>
      <c r="L29" s="9">
        <f>+'[1]GMB By born_here'!$D$48</f>
        <v>50.928600311279297</v>
      </c>
      <c r="M29" s="1"/>
    </row>
    <row r="30" spans="3:13" x14ac:dyDescent="0.3">
      <c r="C30" s="1"/>
      <c r="D30" s="3" t="s">
        <v>18</v>
      </c>
      <c r="E30" s="19">
        <f>'[1]GMB By female'!$C$50</f>
        <v>3.0640604496002197</v>
      </c>
      <c r="F30" s="10">
        <f>'[1]GMB By female'!$D$50</f>
        <v>3.7333810329437256</v>
      </c>
      <c r="G30" s="10">
        <f>'[1]GMB By urban'!$C$50</f>
        <v>4.330474853515625</v>
      </c>
      <c r="H30" s="10">
        <f>'[1]GMB By urban'!$D$50</f>
        <v>1.8436198234558105</v>
      </c>
      <c r="I30" s="10"/>
      <c r="J30" s="10"/>
      <c r="K30" s="10">
        <f>'[1]GMB By born_here'!$C$50</f>
        <v>3.4611203670501709</v>
      </c>
      <c r="L30" s="10">
        <f>'[1]GMB By born_here'!$D$50</f>
        <v>2.2311232089996338</v>
      </c>
      <c r="M30" s="1"/>
    </row>
    <row r="31" spans="3:13" x14ac:dyDescent="0.3">
      <c r="C31" s="1"/>
      <c r="D31" s="2" t="s">
        <v>22</v>
      </c>
      <c r="E31" s="1"/>
      <c r="F31" s="1"/>
      <c r="G31" s="1"/>
      <c r="H31" s="1"/>
      <c r="I31" s="1"/>
      <c r="J31" s="1"/>
      <c r="K31" s="1"/>
      <c r="L31" s="1"/>
      <c r="M31" s="1"/>
    </row>
    <row r="32" spans="3:13" x14ac:dyDescent="0.3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</sheetData>
  <mergeCells count="3">
    <mergeCell ref="E4:F4"/>
    <mergeCell ref="G4:H4"/>
    <mergeCell ref="K4:L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3F900-388A-4913-A4D5-2FB7EF14133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469BA-EAE4-4B24-BDC0-E64D9ED4C840}">
  <dimension ref="A1"/>
  <sheetViews>
    <sheetView workbookViewId="0">
      <selection activeCell="H36" sqref="H3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Support exhange</vt:lpstr>
      <vt:lpstr>Summary_all</vt:lpstr>
      <vt:lpstr>GNB_sum</vt:lpstr>
      <vt:lpstr>MRT_sum</vt:lpstr>
      <vt:lpstr>SEN_sum</vt:lpstr>
      <vt:lpstr>GMB_sum</vt:lpstr>
      <vt:lpstr>Sum_by_area</vt:lpstr>
      <vt:lpstr>Sum_by_origin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A. Rivera</dc:creator>
  <cp:lastModifiedBy>Sergio A. Rivera</cp:lastModifiedBy>
  <dcterms:created xsi:type="dcterms:W3CDTF">2024-08-09T17:34:43Z</dcterms:created>
  <dcterms:modified xsi:type="dcterms:W3CDTF">2025-03-21T15:54:51Z</dcterms:modified>
</cp:coreProperties>
</file>