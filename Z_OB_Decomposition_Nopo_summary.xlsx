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ergio_Rivera\Work\World_Bank\Poverty\P4 Africa Oaxaca Decomposition\4_Outputs\Tables\"/>
    </mc:Choice>
  </mc:AlternateContent>
  <xr:revisionPtr revIDLastSave="0" documentId="13_ncr:1_{97357AB3-10F9-4C90-B195-BF4DCDE057F3}" xr6:coauthVersionLast="47" xr6:coauthVersionMax="47" xr10:uidLastSave="{00000000-0000-0000-0000-000000000000}"/>
  <bookViews>
    <workbookView xWindow="28680" yWindow="-120" windowWidth="38640" windowHeight="21840" activeTab="1" xr2:uid="{00000000-000D-0000-FFFF-FFFF00000000}"/>
  </bookViews>
  <sheets>
    <sheet name="Summary_total" sheetId="6" r:id="rId1"/>
    <sheet name="Summary_perhour" sheetId="5" r:id="rId2"/>
    <sheet name="GMB By sex" sheetId="1" r:id="rId3"/>
    <sheet name="MRT By sex" sheetId="2" r:id="rId4"/>
    <sheet name="SEN By sex" sheetId="3" r:id="rId5"/>
    <sheet name="GNB By sex" sheetId="4" r:id="rId6"/>
  </sheets>
  <externalReferences>
    <externalReference r:id="rId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8" i="6" l="1"/>
  <c r="E28" i="6"/>
  <c r="D28" i="6"/>
  <c r="C28" i="6"/>
  <c r="F27" i="6"/>
  <c r="E27" i="6"/>
  <c r="D27" i="6"/>
  <c r="C27" i="6"/>
  <c r="F26" i="6"/>
  <c r="E26" i="6"/>
  <c r="D26" i="6"/>
  <c r="C26" i="6"/>
  <c r="F25" i="6"/>
  <c r="E25" i="6"/>
  <c r="D25" i="6"/>
  <c r="C25" i="6"/>
  <c r="F24" i="6"/>
  <c r="E24" i="6"/>
  <c r="D24" i="6"/>
  <c r="C24" i="6"/>
  <c r="F23" i="6"/>
  <c r="E23" i="6"/>
  <c r="D23" i="6"/>
  <c r="C23" i="6"/>
  <c r="F22" i="6"/>
  <c r="E22" i="6"/>
  <c r="D22" i="6"/>
  <c r="C22" i="6"/>
  <c r="F21" i="6"/>
  <c r="E21" i="6"/>
  <c r="D21" i="6"/>
  <c r="C21" i="6"/>
  <c r="M6" i="5" l="1"/>
  <c r="L6" i="5"/>
  <c r="J6" i="5"/>
  <c r="I6" i="5"/>
  <c r="H6" i="5"/>
  <c r="G6" i="5"/>
  <c r="F6" i="5"/>
  <c r="E6" i="5"/>
  <c r="D6" i="5"/>
  <c r="C6" i="5"/>
  <c r="M5" i="5"/>
  <c r="L5" i="5"/>
  <c r="J5" i="5"/>
  <c r="I5" i="5"/>
  <c r="H5" i="5"/>
  <c r="G5" i="5"/>
  <c r="F5" i="5"/>
  <c r="E5" i="5"/>
  <c r="D5" i="5"/>
  <c r="C5" i="5"/>
  <c r="M4" i="5"/>
  <c r="L4" i="5"/>
  <c r="J4" i="5"/>
  <c r="I4" i="5"/>
  <c r="H4" i="5"/>
  <c r="G4" i="5"/>
  <c r="F4" i="5"/>
  <c r="E4" i="5"/>
  <c r="D4" i="5"/>
  <c r="C4" i="5"/>
  <c r="M3" i="5"/>
  <c r="L3" i="5"/>
  <c r="J3" i="5"/>
  <c r="I3" i="5"/>
  <c r="H3" i="5"/>
  <c r="G3" i="5"/>
  <c r="F3" i="5"/>
  <c r="E3" i="5"/>
  <c r="D3" i="5"/>
  <c r="C3" i="5"/>
  <c r="M2" i="5"/>
  <c r="L2" i="5"/>
  <c r="J2" i="5"/>
  <c r="I2" i="5"/>
  <c r="H2" i="5"/>
  <c r="G2" i="5"/>
  <c r="F2" i="5"/>
  <c r="E2" i="5"/>
  <c r="D2" i="5"/>
  <c r="C2" i="5"/>
  <c r="M6" i="6"/>
  <c r="L6" i="6"/>
  <c r="J6" i="6"/>
  <c r="I6" i="6"/>
  <c r="H6" i="6"/>
  <c r="G6" i="6"/>
  <c r="F6" i="6"/>
  <c r="E6" i="6"/>
  <c r="D6" i="6"/>
  <c r="C6" i="6"/>
  <c r="M5" i="6"/>
  <c r="L5" i="6"/>
  <c r="J5" i="6"/>
  <c r="I5" i="6"/>
  <c r="H5" i="6"/>
  <c r="G5" i="6"/>
  <c r="F5" i="6"/>
  <c r="E5" i="6"/>
  <c r="D5" i="6"/>
  <c r="C5" i="6"/>
  <c r="M4" i="6"/>
  <c r="L4" i="6"/>
  <c r="J4" i="6"/>
  <c r="I4" i="6"/>
  <c r="H4" i="6"/>
  <c r="G4" i="6"/>
  <c r="F4" i="6"/>
  <c r="E4" i="6"/>
  <c r="D4" i="6"/>
  <c r="C4" i="6"/>
  <c r="M3" i="6"/>
  <c r="L3" i="6"/>
  <c r="J3" i="6"/>
  <c r="I3" i="6"/>
  <c r="H3" i="6"/>
  <c r="G3" i="6"/>
  <c r="F3" i="6"/>
  <c r="E3" i="6"/>
  <c r="D3" i="6"/>
  <c r="C3" i="6"/>
  <c r="M2" i="6"/>
  <c r="L2" i="6"/>
  <c r="J2" i="6"/>
  <c r="I2" i="6"/>
  <c r="H2" i="6"/>
  <c r="G2" i="6"/>
  <c r="F2" i="6"/>
  <c r="E2" i="6"/>
  <c r="D2" i="6"/>
  <c r="C2" i="6"/>
</calcChain>
</file>

<file path=xl/sharedStrings.xml><?xml version="1.0" encoding="utf-8"?>
<sst xmlns="http://schemas.openxmlformats.org/spreadsheetml/2006/main" count="187" uniqueCount="42">
  <si>
    <t>inc_type</t>
  </si>
  <si>
    <t>inc_by_hour</t>
  </si>
  <si>
    <t>inc_d_total</t>
  </si>
  <si>
    <t>inc_d_selfw</t>
  </si>
  <si>
    <t>inc_d_salw</t>
  </si>
  <si>
    <t>controls</t>
  </si>
  <si>
    <t>age age_sq educ_2 educ_3 educ_4 tot_children wkt8a</t>
  </si>
  <si>
    <t>age age_sq educ_2 educ_3 educ_4 sector10_2 sector10_3 sector10_4 sector10_5 sector10_6 sector10_7 tot_children wkt8a</t>
  </si>
  <si>
    <t>age age_sq educ_2 educ_3 educ_4 sector10_2 sector10_3 sector10_4 sector10_5 sector10_6 sector10_7 firm_size_WB_1 firm_size_WB_2 firm_size_WB_3 tot_children wkt8a</t>
  </si>
  <si>
    <t>D</t>
  </si>
  <si>
    <t>D0</t>
  </si>
  <si>
    <t>DM</t>
  </si>
  <si>
    <t>DF</t>
  </si>
  <si>
    <t>DX</t>
  </si>
  <si>
    <t>percM</t>
  </si>
  <si>
    <t>percF</t>
  </si>
  <si>
    <t>sdev</t>
  </si>
  <si>
    <t>age age_sq educ_2 educ_3 educ_4 tot_children week_hours</t>
  </si>
  <si>
    <t>age age_sq educ_2 educ_3 educ_4 sector2_1 sector2_2 sector2_3 sector2_4 sector2_5 tot_children week_hours</t>
  </si>
  <si>
    <t>age age_sq educ_2 educ_3 educ_4 sector2_1 sector2_2 sector2_3 sector2_4 sector2_5 firm_size_WB_1 firm_size_WB_2 firm_size_WB_3 tot_children week_hours</t>
  </si>
  <si>
    <t>Guinea-Bissau</t>
  </si>
  <si>
    <t>Mauritania</t>
  </si>
  <si>
    <t>Senegal</t>
  </si>
  <si>
    <t>The Gambia</t>
  </si>
  <si>
    <t xml:space="preserve">      D = #     is the total gap, the difference between averages in the outcome-variable of the comparing groups. It is expressed as a percentage of the average of outcome-variable for the group in which by-variable=0</t>
  </si>
  <si>
    <t xml:space="preserve">      D0= #     is the unexplained part of the gap.</t>
  </si>
  <si>
    <t xml:space="preserve">      DM= #     is the part of the gap that can be explained by the differences in characteristics between two groups of the individuals with by-variable=1, that are in and out of the common support of the variables defined by match-variable(s)</t>
  </si>
  <si>
    <t xml:space="preserve">      DF= #     is the part of the gap that can be explained by the differences in characteristics between two groups of the individuals with by-variable=0, that are in and out of the common support of the variables defined by match-variable(s)</t>
  </si>
  <si>
    <t xml:space="preserve">      DX= #     is the part of the gap that can be explained by differences in the distribution of characteristics of the two groups discriminated by by-variable in the common support of the variables defined by match-variable(s)</t>
  </si>
  <si>
    <t>****************************************************</t>
  </si>
  <si>
    <t xml:space="preserve">      percM= #  is the percentage of the individuals with by-variable=1 that are in the common support of the variables defined by match-variable(s)</t>
  </si>
  <si>
    <t xml:space="preserve">      percF= #  is the percentage of the individuals with by-variable=0 that are in the common support of the variables defined by match-variable(s)</t>
  </si>
  <si>
    <t>Country</t>
  </si>
  <si>
    <t>Gap</t>
  </si>
  <si>
    <t>Total</t>
  </si>
  <si>
    <t>Unexplained</t>
  </si>
  <si>
    <t>Explained male outside</t>
  </si>
  <si>
    <t>explained female outside</t>
  </si>
  <si>
    <t>Explained common</t>
  </si>
  <si>
    <t>Male in support</t>
  </si>
  <si>
    <t>Female in support</t>
  </si>
  <si>
    <t>SD unexplained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</si>
</sst>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1" fillId="0" borderId="1"/>
  </cellStyleXfs>
  <cellXfs count="5">
    <xf numFmtId="0" fontId="0" fillId="0" borderId="0" xfId="0"/>
    <xf numFmtId="1" fontId="0" fillId="0" borderId="1" xfId="0" applyNumberFormat="1" applyBorder="1"/>
    <xf numFmtId="0" fontId="1" fillId="0" borderId="1" xfId="1"/>
    <xf numFmtId="2" fontId="1" fillId="0" borderId="1" xfId="1" applyNumberFormat="1" applyAlignment="1">
      <alignment horizontal="center" vertical="top"/>
    </xf>
    <xf numFmtId="4" fontId="1" fillId="0" borderId="1" xfId="1" applyNumberFormat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Sergio_Rivera\Work\World_Bank\Poverty\P4%20Africa%20Oaxaca%20Decomposition\4_Outputs\Tables_direct_exchange\Z_OB_Decomposition_Nopo_summary_old.xlsx" TargetMode="External"/><Relationship Id="rId1" Type="http://schemas.openxmlformats.org/officeDocument/2006/relationships/externalLinkPath" Target="/Sergio_Rivera/Work/World_Bank/Poverty/P4%20Africa%20Oaxaca%20Decomposition/4_Outputs/Tables_direct_exchange/Z_OB_Decomposition_Nopo_summary_ol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_total"/>
      <sheetName val="Summary_perhour"/>
      <sheetName val="GNB By sex"/>
      <sheetName val="MRT By sex"/>
      <sheetName val="SEN By sex"/>
      <sheetName val="GMB By sex"/>
    </sheetNames>
    <sheetDataSet>
      <sheetData sheetId="0">
        <row r="2">
          <cell r="C2" t="str">
            <v>D</v>
          </cell>
          <cell r="D2" t="str">
            <v>D0</v>
          </cell>
          <cell r="E2" t="str">
            <v>DM</v>
          </cell>
          <cell r="F2" t="str">
            <v>DF</v>
          </cell>
          <cell r="G2" t="str">
            <v>DX</v>
          </cell>
          <cell r="H2" t="str">
            <v>percM</v>
          </cell>
          <cell r="I2" t="str">
            <v>percF</v>
          </cell>
          <cell r="J2" t="str">
            <v>sdev</v>
          </cell>
          <cell r="L2" t="str">
            <v>inc_type</v>
          </cell>
          <cell r="M2" t="str">
            <v>controls</v>
          </cell>
        </row>
      </sheetData>
      <sheetData sheetId="1"/>
      <sheetData sheetId="2">
        <row r="1">
          <cell r="A1" t="str">
            <v>inc_type</v>
          </cell>
          <cell r="B1" t="str">
            <v>controls</v>
          </cell>
          <cell r="C1" t="str">
            <v>D</v>
          </cell>
          <cell r="D1" t="str">
            <v>D0</v>
          </cell>
          <cell r="E1" t="str">
            <v>DM</v>
          </cell>
          <cell r="F1" t="str">
            <v>DF</v>
          </cell>
          <cell r="G1" t="str">
            <v>DX</v>
          </cell>
          <cell r="H1" t="str">
            <v>percM</v>
          </cell>
          <cell r="I1" t="str">
            <v>percF</v>
          </cell>
          <cell r="J1" t="str">
            <v>sdev</v>
          </cell>
        </row>
        <row r="4">
          <cell r="A4" t="str">
            <v>inc_by_hour</v>
          </cell>
          <cell r="B4" t="str">
            <v>age age_sq educ_2 educ_3 educ_4 sector2_1 sector2_2 sector2_3 sector2_4 sector2_5 tot_children week_hours</v>
          </cell>
        </row>
        <row r="7">
          <cell r="A7" t="str">
            <v>inc_d_total</v>
          </cell>
          <cell r="B7" t="str">
            <v>age age_sq educ_2 educ_3 educ_4 sector2_1 sector2_2 sector2_3 sector2_4 sector2_5 tot_children week_hours</v>
          </cell>
        </row>
      </sheetData>
      <sheetData sheetId="3">
        <row r="4">
          <cell r="A4" t="str">
            <v>inc_by_hour</v>
          </cell>
          <cell r="B4" t="str">
            <v>age age_sq educ_2 educ_3 educ_4 sector2_1 sector2_2 sector2_3 sector2_4 sector2_5 firm_size_WB_1 firm_size_WB_2 firm_size_WB_3 tot_children week_hours</v>
          </cell>
        </row>
        <row r="7">
          <cell r="A7" t="str">
            <v>inc_d_total</v>
          </cell>
          <cell r="B7" t="str">
            <v>age age_sq educ_2 educ_3 educ_4 sector2_1 sector2_2 sector2_3 sector2_4 sector2_5 firm_size_WB_1 firm_size_WB_2 firm_size_WB_3 tot_children week_hours</v>
          </cell>
        </row>
      </sheetData>
      <sheetData sheetId="4">
        <row r="4">
          <cell r="A4" t="str">
            <v>inc_by_hour</v>
          </cell>
          <cell r="B4" t="str">
            <v>age age_sq educ_2 educ_3 educ_4 sector2_1 sector2_2 sector2_3 sector2_4 sector2_5 tot_children week_hours</v>
          </cell>
        </row>
        <row r="7">
          <cell r="A7" t="str">
            <v>inc_d_total</v>
          </cell>
          <cell r="B7" t="str">
            <v>age age_sq educ_2 educ_3 educ_4 sector2_1 sector2_2 sector2_3 sector2_4 sector2_5 tot_children week_hours</v>
          </cell>
        </row>
      </sheetData>
      <sheetData sheetId="5">
        <row r="4">
          <cell r="A4" t="str">
            <v>inc_by_hour</v>
          </cell>
          <cell r="B4" t="str">
            <v>age age_sq educ_2 educ_3 educ_4 sector10_2 sector10_3 sector10_4 sector10_5 sector10_6 sector10_7 firm_size_WB_1 firm_size_WB_2 firm_size_WB_3 tot_children wkt8a</v>
          </cell>
        </row>
        <row r="7">
          <cell r="A7" t="str">
            <v>inc_d_total</v>
          </cell>
          <cell r="B7" t="str">
            <v>age age_sq educ_2 educ_3 educ_4 sector10_2 sector10_3 sector10_4 sector10_5 sector10_6 sector10_7 firm_size_WB_1 firm_size_WB_2 firm_size_WB_3 tot_children wkt8a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04DFC-DEB9-4F99-81C2-F72FDB76E2F5}">
  <dimension ref="B2:M28"/>
  <sheetViews>
    <sheetView workbookViewId="0">
      <selection activeCell="B20" sqref="B20:B28"/>
    </sheetView>
  </sheetViews>
  <sheetFormatPr defaultRowHeight="14.4" x14ac:dyDescent="0.3"/>
  <cols>
    <col min="1" max="1" width="8.88671875" style="2"/>
    <col min="2" max="2" width="12.44140625" style="2" bestFit="1" customWidth="1"/>
    <col min="3" max="16384" width="8.88671875" style="2"/>
  </cols>
  <sheetData>
    <row r="2" spans="2:13" x14ac:dyDescent="0.3">
      <c r="B2" s="2" t="s">
        <v>32</v>
      </c>
      <c r="C2" s="2" t="str">
        <f>'[1]GNB By sex'!C1</f>
        <v>D</v>
      </c>
      <c r="D2" s="2" t="str">
        <f>'[1]GNB By sex'!D1</f>
        <v>D0</v>
      </c>
      <c r="E2" s="2" t="str">
        <f>'[1]GNB By sex'!E1</f>
        <v>DM</v>
      </c>
      <c r="F2" s="2" t="str">
        <f>'[1]GNB By sex'!F1</f>
        <v>DF</v>
      </c>
      <c r="G2" s="2" t="str">
        <f>'[1]GNB By sex'!G1</f>
        <v>DX</v>
      </c>
      <c r="H2" s="2" t="str">
        <f>'[1]GNB By sex'!H1</f>
        <v>percM</v>
      </c>
      <c r="I2" s="2" t="str">
        <f>'[1]GNB By sex'!I1</f>
        <v>percF</v>
      </c>
      <c r="J2" s="2" t="str">
        <f>'[1]GNB By sex'!J1</f>
        <v>sdev</v>
      </c>
      <c r="L2" s="2" t="str">
        <f>'[1]GNB By sex'!A1</f>
        <v>inc_type</v>
      </c>
      <c r="M2" s="2" t="str">
        <f>'[1]GNB By sex'!B1</f>
        <v>controls</v>
      </c>
    </row>
    <row r="3" spans="2:13" x14ac:dyDescent="0.3">
      <c r="B3" s="2" t="s">
        <v>20</v>
      </c>
      <c r="C3" s="3">
        <f>'GNB By sex'!$C$7</f>
        <v>3.5460937768220901E-2</v>
      </c>
      <c r="D3" s="3">
        <f>'GNB By sex'!$D$7</f>
        <v>5.6286845356225967E-2</v>
      </c>
      <c r="E3" s="3">
        <f>'GNB By sex'!$E$7</f>
        <v>0.10845781117677689</v>
      </c>
      <c r="F3" s="3">
        <f>'GNB By sex'!$F$7</f>
        <v>-8.1278450787067413E-2</v>
      </c>
      <c r="G3" s="3">
        <f>'GNB By sex'!$G$7</f>
        <v>-4.8005267977714539E-2</v>
      </c>
      <c r="H3" s="3">
        <f>'GNB By sex'!$H$7</f>
        <v>0.11795267462730408</v>
      </c>
      <c r="I3" s="3">
        <f>'GNB By sex'!$I$7</f>
        <v>0.11774159967899323</v>
      </c>
      <c r="J3" s="3">
        <f>'GNB By sex'!$J$7</f>
        <v>5.3238943219184875E-2</v>
      </c>
      <c r="L3" s="2" t="str">
        <f>'[1]GNB By sex'!$A$7</f>
        <v>inc_d_total</v>
      </c>
      <c r="M3" s="2" t="str">
        <f>'[1]GNB By sex'!$B$7</f>
        <v>age age_sq educ_2 educ_3 educ_4 sector2_1 sector2_2 sector2_3 sector2_4 sector2_5 tot_children week_hours</v>
      </c>
    </row>
    <row r="4" spans="2:13" x14ac:dyDescent="0.3">
      <c r="B4" s="2" t="s">
        <v>21</v>
      </c>
      <c r="C4" s="3">
        <f>'MRT By sex'!$C$7</f>
        <v>0.55749624967575073</v>
      </c>
      <c r="D4" s="3">
        <f>'MRT By sex'!$D$7</f>
        <v>0.20114883780479431</v>
      </c>
      <c r="E4" s="3">
        <f>'MRT By sex'!$E$7</f>
        <v>-0.59465587139129639</v>
      </c>
      <c r="F4" s="3">
        <f>'MRT By sex'!$F$7</f>
        <v>0.81780916452407837</v>
      </c>
      <c r="G4" s="3">
        <f>'MRT By sex'!$G$7</f>
        <v>0.13319410383701324</v>
      </c>
      <c r="H4" s="3">
        <f>'MRT By sex'!$H$7</f>
        <v>0.3104197084903717</v>
      </c>
      <c r="I4" s="3">
        <f>'MRT By sex'!$I$7</f>
        <v>0.31382009387016296</v>
      </c>
      <c r="J4" s="3">
        <f>'MRT By sex'!$J$7</f>
        <v>0.23631103336811066</v>
      </c>
      <c r="L4" s="2" t="str">
        <f>'[1]MRT By sex'!$A$7</f>
        <v>inc_d_total</v>
      </c>
      <c r="M4" s="2" t="str">
        <f>'[1]MRT By sex'!$B$7</f>
        <v>age age_sq educ_2 educ_3 educ_4 sector2_1 sector2_2 sector2_3 sector2_4 sector2_5 firm_size_WB_1 firm_size_WB_2 firm_size_WB_3 tot_children week_hours</v>
      </c>
    </row>
    <row r="5" spans="2:13" x14ac:dyDescent="0.3">
      <c r="B5" s="2" t="s">
        <v>22</v>
      </c>
      <c r="C5" s="3">
        <f>'SEN By sex'!$C$7</f>
        <v>-0.10218772292137146</v>
      </c>
      <c r="D5" s="3">
        <f>'SEN By sex'!$D$7</f>
        <v>-0.34873604774475098</v>
      </c>
      <c r="E5" s="3">
        <f>'SEN By sex'!$E$7</f>
        <v>-0.14555549621582031</v>
      </c>
      <c r="F5" s="3">
        <f>'SEN By sex'!$F$7</f>
        <v>0.38182544708251953</v>
      </c>
      <c r="G5" s="3">
        <f>'SEN By sex'!$G$7</f>
        <v>1.0278359986841679E-2</v>
      </c>
      <c r="H5" s="3">
        <f>'SEN By sex'!$H$7</f>
        <v>5.528828501701355E-2</v>
      </c>
      <c r="I5" s="3">
        <f>'SEN By sex'!$I$7</f>
        <v>0.10735005885362625</v>
      </c>
      <c r="J5" s="3">
        <f>'SEN By sex'!$J$7</f>
        <v>6.2916375696659088E-2</v>
      </c>
      <c r="L5" s="2" t="str">
        <f>'[1]SEN By sex'!$A$7</f>
        <v>inc_d_total</v>
      </c>
      <c r="M5" s="2" t="str">
        <f>'[1]SEN By sex'!$B$7</f>
        <v>age age_sq educ_2 educ_3 educ_4 sector2_1 sector2_2 sector2_3 sector2_4 sector2_5 tot_children week_hours</v>
      </c>
    </row>
    <row r="6" spans="2:13" x14ac:dyDescent="0.3">
      <c r="B6" s="2" t="s">
        <v>23</v>
      </c>
      <c r="C6" s="3">
        <f>'GMB By sex'!$C$7</f>
        <v>1.266301155090332</v>
      </c>
      <c r="D6" s="3">
        <f>'GMB By sex'!$D$7</f>
        <v>1.0185697078704834</v>
      </c>
      <c r="E6" s="3">
        <f>'GMB By sex'!$E$7</f>
        <v>0.90311866998672485</v>
      </c>
      <c r="F6" s="3">
        <f>'GMB By sex'!$F$7</f>
        <v>-0.7168615460395813</v>
      </c>
      <c r="G6" s="3">
        <f>'GMB By sex'!$G$7</f>
        <v>6.147434189915657E-2</v>
      </c>
      <c r="H6" s="3">
        <f>'GMB By sex'!$H$7</f>
        <v>0.10777156054973602</v>
      </c>
      <c r="I6" s="3">
        <f>'GMB By sex'!$I$7</f>
        <v>0.11143328994512558</v>
      </c>
      <c r="J6" s="3">
        <f>'GMB By sex'!$J$7</f>
        <v>0.19383040070533752</v>
      </c>
      <c r="L6" s="2" t="str">
        <f>'[1]GMB By sex'!$A$7</f>
        <v>inc_d_total</v>
      </c>
      <c r="M6" s="2" t="str">
        <f>'[1]GMB By sex'!$B$7</f>
        <v>age age_sq educ_2 educ_3 educ_4 sector10_2 sector10_3 sector10_4 sector10_5 sector10_6 sector10_7 firm_size_WB_1 firm_size_WB_2 firm_size_WB_3 tot_children wkt8a</v>
      </c>
    </row>
    <row r="9" spans="2:13" x14ac:dyDescent="0.3">
      <c r="B9" s="2" t="s">
        <v>24</v>
      </c>
    </row>
    <row r="10" spans="2:13" x14ac:dyDescent="0.3">
      <c r="B10" s="2" t="s">
        <v>25</v>
      </c>
    </row>
    <row r="11" spans="2:13" x14ac:dyDescent="0.3">
      <c r="B11" s="2" t="s">
        <v>26</v>
      </c>
    </row>
    <row r="12" spans="2:13" x14ac:dyDescent="0.3">
      <c r="B12" s="2" t="s">
        <v>27</v>
      </c>
    </row>
    <row r="13" spans="2:13" x14ac:dyDescent="0.3">
      <c r="B13" s="2" t="s">
        <v>28</v>
      </c>
    </row>
    <row r="14" spans="2:13" x14ac:dyDescent="0.3">
      <c r="B14" s="2" t="s">
        <v>29</v>
      </c>
    </row>
    <row r="15" spans="2:13" x14ac:dyDescent="0.3">
      <c r="B15" s="2" t="s">
        <v>30</v>
      </c>
    </row>
    <row r="16" spans="2:13" x14ac:dyDescent="0.3">
      <c r="B16" s="2" t="s">
        <v>31</v>
      </c>
    </row>
    <row r="20" spans="2:6" x14ac:dyDescent="0.3">
      <c r="B20" s="2" t="s">
        <v>33</v>
      </c>
      <c r="C20" s="2" t="s">
        <v>20</v>
      </c>
      <c r="D20" s="2" t="s">
        <v>21</v>
      </c>
      <c r="E20" s="2" t="s">
        <v>22</v>
      </c>
      <c r="F20" s="2" t="s">
        <v>23</v>
      </c>
    </row>
    <row r="21" spans="2:6" x14ac:dyDescent="0.3">
      <c r="B21" s="2" t="s">
        <v>34</v>
      </c>
      <c r="C21" s="3">
        <f>'GNB By sex'!$C$7</f>
        <v>3.5460937768220901E-2</v>
      </c>
      <c r="D21" s="3">
        <f>'MRT By sex'!$C$7</f>
        <v>0.55749624967575073</v>
      </c>
      <c r="E21" s="3">
        <f>'SEN By sex'!$C$7</f>
        <v>-0.10218772292137146</v>
      </c>
      <c r="F21" s="3">
        <f>'GMB By sex'!$C$7</f>
        <v>1.266301155090332</v>
      </c>
    </row>
    <row r="22" spans="2:6" x14ac:dyDescent="0.3">
      <c r="B22" s="2" t="s">
        <v>35</v>
      </c>
      <c r="C22" s="3">
        <f>'GNB By sex'!$D$7</f>
        <v>5.6286845356225967E-2</v>
      </c>
      <c r="D22" s="3">
        <f>'MRT By sex'!$D$7</f>
        <v>0.20114883780479431</v>
      </c>
      <c r="E22" s="3">
        <f>'SEN By sex'!$D$7</f>
        <v>-0.34873604774475098</v>
      </c>
      <c r="F22" s="3">
        <f>'GMB By sex'!$D$7</f>
        <v>1.0185697078704834</v>
      </c>
    </row>
    <row r="23" spans="2:6" x14ac:dyDescent="0.3">
      <c r="B23" s="2" t="s">
        <v>36</v>
      </c>
      <c r="C23" s="3">
        <f>'GNB By sex'!$E$7</f>
        <v>0.10845781117677689</v>
      </c>
      <c r="D23" s="3">
        <f>'MRT By sex'!$E$7</f>
        <v>-0.59465587139129639</v>
      </c>
      <c r="E23" s="3">
        <f>'SEN By sex'!$E$7</f>
        <v>-0.14555549621582031</v>
      </c>
      <c r="F23" s="3">
        <f>'GMB By sex'!$E$7</f>
        <v>0.90311866998672485</v>
      </c>
    </row>
    <row r="24" spans="2:6" x14ac:dyDescent="0.3">
      <c r="B24" s="2" t="s">
        <v>37</v>
      </c>
      <c r="C24" s="3">
        <f>'GNB By sex'!$F$7</f>
        <v>-8.1278450787067413E-2</v>
      </c>
      <c r="D24" s="3">
        <f>'MRT By sex'!$F$7</f>
        <v>0.81780916452407837</v>
      </c>
      <c r="E24" s="3">
        <f>'SEN By sex'!$F$7</f>
        <v>0.38182544708251953</v>
      </c>
      <c r="F24" s="3">
        <f>'GMB By sex'!$F$7</f>
        <v>-0.7168615460395813</v>
      </c>
    </row>
    <row r="25" spans="2:6" x14ac:dyDescent="0.3">
      <c r="B25" s="2" t="s">
        <v>38</v>
      </c>
      <c r="C25" s="3">
        <f>'GNB By sex'!$G$7</f>
        <v>-4.8005267977714539E-2</v>
      </c>
      <c r="D25" s="3">
        <f>'MRT By sex'!$G$7</f>
        <v>0.13319410383701324</v>
      </c>
      <c r="E25" s="3">
        <f>'SEN By sex'!$G$7</f>
        <v>1.0278359986841679E-2</v>
      </c>
      <c r="F25" s="3">
        <f>'GMB By sex'!$G$7</f>
        <v>6.147434189915657E-2</v>
      </c>
    </row>
    <row r="26" spans="2:6" x14ac:dyDescent="0.3">
      <c r="B26" s="2" t="s">
        <v>39</v>
      </c>
      <c r="C26" s="3">
        <f>'GNB By sex'!$H$7</f>
        <v>0.11795267462730408</v>
      </c>
      <c r="D26" s="3">
        <f>'MRT By sex'!$H$7</f>
        <v>0.3104197084903717</v>
      </c>
      <c r="E26" s="3">
        <f>'SEN By sex'!$H$7</f>
        <v>5.528828501701355E-2</v>
      </c>
      <c r="F26" s="3">
        <f>'GMB By sex'!$H$7</f>
        <v>0.10777156054973602</v>
      </c>
    </row>
    <row r="27" spans="2:6" x14ac:dyDescent="0.3">
      <c r="B27" s="2" t="s">
        <v>40</v>
      </c>
      <c r="C27" s="3">
        <f>'GNB By sex'!$I$7</f>
        <v>0.11774159967899323</v>
      </c>
      <c r="D27" s="3">
        <f>'MRT By sex'!$I$7</f>
        <v>0.31382009387016296</v>
      </c>
      <c r="E27" s="3">
        <f>'SEN By sex'!$I$7</f>
        <v>0.10735005885362625</v>
      </c>
      <c r="F27" s="3">
        <f>'GMB By sex'!$I$7</f>
        <v>0.11143328994512558</v>
      </c>
    </row>
    <row r="28" spans="2:6" x14ac:dyDescent="0.3">
      <c r="B28" s="2" t="s">
        <v>41</v>
      </c>
      <c r="C28" s="3">
        <f>'GNB By sex'!$J$7</f>
        <v>5.3238943219184875E-2</v>
      </c>
      <c r="D28" s="3">
        <f>'MRT By sex'!$J$7</f>
        <v>0.23631103336811066</v>
      </c>
      <c r="E28" s="3">
        <f>'SEN By sex'!$J$7</f>
        <v>6.2916375696659088E-2</v>
      </c>
      <c r="F28" s="3">
        <f>'GMB By sex'!$J$7</f>
        <v>0.19383040070533752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24B9A-1858-4F64-83CF-0AE3C9EB938F}">
  <dimension ref="B2:M28"/>
  <sheetViews>
    <sheetView tabSelected="1" workbookViewId="0">
      <selection activeCell="B20" sqref="B20:B28"/>
    </sheetView>
  </sheetViews>
  <sheetFormatPr defaultRowHeight="14.4" x14ac:dyDescent="0.3"/>
  <cols>
    <col min="1" max="1" width="8.88671875" style="2"/>
    <col min="2" max="2" width="12.44140625" style="2" bestFit="1" customWidth="1"/>
    <col min="3" max="16384" width="8.88671875" style="2"/>
  </cols>
  <sheetData>
    <row r="2" spans="2:13" x14ac:dyDescent="0.3">
      <c r="C2" s="2" t="str">
        <f>[1]Summary_total!C2</f>
        <v>D</v>
      </c>
      <c r="D2" s="2" t="str">
        <f>[1]Summary_total!D2</f>
        <v>D0</v>
      </c>
      <c r="E2" s="2" t="str">
        <f>[1]Summary_total!E2</f>
        <v>DM</v>
      </c>
      <c r="F2" s="2" t="str">
        <f>[1]Summary_total!F2</f>
        <v>DF</v>
      </c>
      <c r="G2" s="2" t="str">
        <f>[1]Summary_total!G2</f>
        <v>DX</v>
      </c>
      <c r="H2" s="2" t="str">
        <f>[1]Summary_total!H2</f>
        <v>percM</v>
      </c>
      <c r="I2" s="2" t="str">
        <f>[1]Summary_total!I2</f>
        <v>percF</v>
      </c>
      <c r="J2" s="2" t="str">
        <f>[1]Summary_total!J2</f>
        <v>sdev</v>
      </c>
      <c r="L2" s="2" t="str">
        <f>[1]Summary_total!L2</f>
        <v>inc_type</v>
      </c>
      <c r="M2" s="2" t="str">
        <f>[1]Summary_total!M2</f>
        <v>controls</v>
      </c>
    </row>
    <row r="3" spans="2:13" x14ac:dyDescent="0.3">
      <c r="B3" s="2" t="s">
        <v>20</v>
      </c>
      <c r="C3" s="3">
        <f>'GNB By sex'!$C$4</f>
        <v>-9.7458019852638245E-2</v>
      </c>
      <c r="D3" s="3">
        <f>'GNB By sex'!$D$4</f>
        <v>-6.0622729361057281E-2</v>
      </c>
      <c r="E3" s="3">
        <f>'GNB By sex'!$E$4</f>
        <v>-0.28072389960289001</v>
      </c>
      <c r="F3" s="3">
        <f>'GNB By sex'!$F$4</f>
        <v>0.27360564470291138</v>
      </c>
      <c r="G3" s="3">
        <f>'GNB By sex'!$G$4</f>
        <v>-2.9717041179537773E-2</v>
      </c>
      <c r="H3" s="3">
        <f>'GNB By sex'!$H$4</f>
        <v>0.27268713712692261</v>
      </c>
      <c r="I3" s="3">
        <f>'GNB By sex'!$I$4</f>
        <v>0.33019950985908508</v>
      </c>
      <c r="J3" s="3">
        <f>'GNB By sex'!$J$4</f>
        <v>2.9680864885449409E-2</v>
      </c>
      <c r="L3" s="2" t="str">
        <f>'[1]GNB By sex'!$A$4</f>
        <v>inc_by_hour</v>
      </c>
      <c r="M3" s="2" t="str">
        <f>'[1]GNB By sex'!$B$4</f>
        <v>age age_sq educ_2 educ_3 educ_4 sector2_1 sector2_2 sector2_3 sector2_4 sector2_5 tot_children week_hours</v>
      </c>
    </row>
    <row r="4" spans="2:13" x14ac:dyDescent="0.3">
      <c r="B4" s="2" t="s">
        <v>21</v>
      </c>
      <c r="C4" s="3">
        <f>'MRT By sex'!$C$4</f>
        <v>0.25216925144195557</v>
      </c>
      <c r="D4" s="3">
        <f>'MRT By sex'!$D$4</f>
        <v>-7.1630343794822693E-2</v>
      </c>
      <c r="E4" s="3">
        <f>'MRT By sex'!$E$4</f>
        <v>-0.63817942142486572</v>
      </c>
      <c r="F4" s="3">
        <f>'MRT By sex'!$F$4</f>
        <v>0.81738632917404175</v>
      </c>
      <c r="G4" s="3">
        <f>'MRT By sex'!$G$4</f>
        <v>0.14459271728992462</v>
      </c>
      <c r="H4" s="3">
        <f>'MRT By sex'!$H$4</f>
        <v>0.31332740187644958</v>
      </c>
      <c r="I4" s="3">
        <f>'MRT By sex'!$I$4</f>
        <v>0.31623634696006775</v>
      </c>
      <c r="J4" s="3">
        <f>'MRT By sex'!$J$4</f>
        <v>0.20643645524978638</v>
      </c>
      <c r="L4" s="2" t="str">
        <f>'[1]MRT By sex'!$A$4</f>
        <v>inc_by_hour</v>
      </c>
      <c r="M4" s="2" t="str">
        <f>'[1]MRT By sex'!$B$4</f>
        <v>age age_sq educ_2 educ_3 educ_4 sector2_1 sector2_2 sector2_3 sector2_4 sector2_5 firm_size_WB_1 firm_size_WB_2 firm_size_WB_3 tot_children week_hours</v>
      </c>
    </row>
    <row r="5" spans="2:13" x14ac:dyDescent="0.3">
      <c r="B5" s="2" t="s">
        <v>22</v>
      </c>
      <c r="C5" s="3">
        <f>'SEN By sex'!$C$4</f>
        <v>-0.23845955729484558</v>
      </c>
      <c r="D5" s="3">
        <f>'SEN By sex'!$D$4</f>
        <v>-0.35226672887802124</v>
      </c>
      <c r="E5" s="3">
        <f>'SEN By sex'!$E$4</f>
        <v>-0.14616774022579193</v>
      </c>
      <c r="F5" s="3">
        <f>'SEN By sex'!$F$4</f>
        <v>0.27133044600486755</v>
      </c>
      <c r="G5" s="3">
        <f>'SEN By sex'!$G$4</f>
        <v>-1.1355550959706306E-2</v>
      </c>
      <c r="H5" s="3">
        <f>'SEN By sex'!$H$4</f>
        <v>0.21378470957279205</v>
      </c>
      <c r="I5" s="3">
        <f>'SEN By sex'!$I$4</f>
        <v>0.37578359246253967</v>
      </c>
      <c r="J5" s="3">
        <f>'SEN By sex'!$J$4</f>
        <v>2.4763882160186768E-2</v>
      </c>
      <c r="L5" s="2" t="str">
        <f>'[1]SEN By sex'!$A$4</f>
        <v>inc_by_hour</v>
      </c>
      <c r="M5" s="2" t="str">
        <f>'[1]SEN By sex'!$B$4</f>
        <v>age age_sq educ_2 educ_3 educ_4 sector2_1 sector2_2 sector2_3 sector2_4 sector2_5 tot_children week_hours</v>
      </c>
    </row>
    <row r="6" spans="2:13" x14ac:dyDescent="0.3">
      <c r="B6" s="2" t="s">
        <v>23</v>
      </c>
      <c r="C6" s="3">
        <f>'GMB By sex'!$C$4</f>
        <v>0.67210167646408081</v>
      </c>
      <c r="D6" s="3">
        <f>'GMB By sex'!$D$4</f>
        <v>0.72337377071380615</v>
      </c>
      <c r="E6" s="3">
        <f>'GMB By sex'!$E$4</f>
        <v>0.58263826370239258</v>
      </c>
      <c r="F6" s="3">
        <f>'GMB By sex'!$F$4</f>
        <v>-0.66761654615402222</v>
      </c>
      <c r="G6" s="3">
        <f>'GMB By sex'!$G$4</f>
        <v>3.3706143498420715E-2</v>
      </c>
      <c r="H6" s="3">
        <f>'GMB By sex'!$H$4</f>
        <v>0.10809438675642014</v>
      </c>
      <c r="I6" s="3">
        <f>'GMB By sex'!$I$4</f>
        <v>0.11157739907503128</v>
      </c>
      <c r="J6" s="3">
        <f>'GMB By sex'!$J$4</f>
        <v>0.13091038167476654</v>
      </c>
      <c r="L6" s="2" t="str">
        <f>'[1]GMB By sex'!$A$4</f>
        <v>inc_by_hour</v>
      </c>
      <c r="M6" s="2" t="str">
        <f>'[1]GMB By sex'!$B$4</f>
        <v>age age_sq educ_2 educ_3 educ_4 sector10_2 sector10_3 sector10_4 sector10_5 sector10_6 sector10_7 firm_size_WB_1 firm_size_WB_2 firm_size_WB_3 tot_children wkt8a</v>
      </c>
    </row>
    <row r="9" spans="2:13" x14ac:dyDescent="0.3">
      <c r="B9" s="2" t="s">
        <v>24</v>
      </c>
    </row>
    <row r="10" spans="2:13" x14ac:dyDescent="0.3">
      <c r="B10" s="2" t="s">
        <v>25</v>
      </c>
    </row>
    <row r="11" spans="2:13" x14ac:dyDescent="0.3">
      <c r="B11" s="2" t="s">
        <v>26</v>
      </c>
    </row>
    <row r="12" spans="2:13" x14ac:dyDescent="0.3">
      <c r="B12" s="2" t="s">
        <v>27</v>
      </c>
    </row>
    <row r="13" spans="2:13" x14ac:dyDescent="0.3">
      <c r="B13" s="2" t="s">
        <v>28</v>
      </c>
    </row>
    <row r="14" spans="2:13" x14ac:dyDescent="0.3">
      <c r="B14" s="2" t="s">
        <v>29</v>
      </c>
    </row>
    <row r="15" spans="2:13" x14ac:dyDescent="0.3">
      <c r="B15" s="2" t="s">
        <v>30</v>
      </c>
    </row>
    <row r="16" spans="2:13" x14ac:dyDescent="0.3">
      <c r="B16" s="2" t="s">
        <v>31</v>
      </c>
    </row>
    <row r="20" spans="2:6" x14ac:dyDescent="0.3">
      <c r="B20" s="2" t="s">
        <v>33</v>
      </c>
      <c r="C20" s="2" t="s">
        <v>20</v>
      </c>
      <c r="D20" s="2" t="s">
        <v>21</v>
      </c>
      <c r="E20" s="2" t="s">
        <v>22</v>
      </c>
      <c r="F20" s="2" t="s">
        <v>23</v>
      </c>
    </row>
    <row r="21" spans="2:6" x14ac:dyDescent="0.3">
      <c r="B21" s="2" t="s">
        <v>34</v>
      </c>
      <c r="C21" s="4">
        <v>-9.7458019852638245E-2</v>
      </c>
      <c r="D21" s="4">
        <v>0.25216925144195557</v>
      </c>
      <c r="E21" s="4">
        <v>-0.23845955729484558</v>
      </c>
      <c r="F21" s="4">
        <v>0.67210167646408081</v>
      </c>
    </row>
    <row r="22" spans="2:6" x14ac:dyDescent="0.3">
      <c r="B22" s="2" t="s">
        <v>35</v>
      </c>
      <c r="C22" s="4">
        <v>-6.0622729361057281E-2</v>
      </c>
      <c r="D22" s="4">
        <v>-7.1630343794822693E-2</v>
      </c>
      <c r="E22" s="4">
        <v>-0.35226672887802124</v>
      </c>
      <c r="F22" s="4">
        <v>0.72337377071380615</v>
      </c>
    </row>
    <row r="23" spans="2:6" x14ac:dyDescent="0.3">
      <c r="B23" s="2" t="s">
        <v>36</v>
      </c>
      <c r="C23" s="4">
        <v>-0.28072389960289001</v>
      </c>
      <c r="D23" s="4">
        <v>-0.63817942142486572</v>
      </c>
      <c r="E23" s="4">
        <v>-0.14616774022579193</v>
      </c>
      <c r="F23" s="4">
        <v>0.58263826370239258</v>
      </c>
    </row>
    <row r="24" spans="2:6" x14ac:dyDescent="0.3">
      <c r="B24" s="2" t="s">
        <v>37</v>
      </c>
      <c r="C24" s="4">
        <v>0.27360564470291138</v>
      </c>
      <c r="D24" s="4">
        <v>0.81738632917404175</v>
      </c>
      <c r="E24" s="4">
        <v>0.27133044600486755</v>
      </c>
      <c r="F24" s="4">
        <v>-0.66761654615402222</v>
      </c>
    </row>
    <row r="25" spans="2:6" x14ac:dyDescent="0.3">
      <c r="B25" s="2" t="s">
        <v>38</v>
      </c>
      <c r="C25" s="4">
        <v>-2.9717041179537773E-2</v>
      </c>
      <c r="D25" s="4">
        <v>0.14459271728992462</v>
      </c>
      <c r="E25" s="4">
        <v>-1.1355550959706306E-2</v>
      </c>
      <c r="F25" s="4">
        <v>3.3706143498420715E-2</v>
      </c>
    </row>
    <row r="26" spans="2:6" x14ac:dyDescent="0.3">
      <c r="B26" s="2" t="s">
        <v>39</v>
      </c>
      <c r="C26" s="4">
        <v>0.27268713712692261</v>
      </c>
      <c r="D26" s="4">
        <v>0.31332740187644958</v>
      </c>
      <c r="E26" s="4">
        <v>0.21378470957279205</v>
      </c>
      <c r="F26" s="4">
        <v>0.10809438675642014</v>
      </c>
    </row>
    <row r="27" spans="2:6" x14ac:dyDescent="0.3">
      <c r="B27" s="2" t="s">
        <v>40</v>
      </c>
      <c r="C27" s="4">
        <v>0.33019950985908508</v>
      </c>
      <c r="D27" s="4">
        <v>0.31623634696006775</v>
      </c>
      <c r="E27" s="4">
        <v>0.37578359246253967</v>
      </c>
      <c r="F27" s="4">
        <v>0.11157739907503128</v>
      </c>
    </row>
    <row r="28" spans="2:6" x14ac:dyDescent="0.3">
      <c r="B28" s="2" t="s">
        <v>41</v>
      </c>
      <c r="C28" s="4">
        <v>2.9680864885449409E-2</v>
      </c>
      <c r="D28" s="4">
        <v>0.20643645524978638</v>
      </c>
      <c r="E28" s="4">
        <v>2.4763882160186768E-2</v>
      </c>
      <c r="F28" s="4">
        <v>0.13091038167476654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workbookViewId="0">
      <selection activeCell="A13" sqref="A13"/>
    </sheetView>
  </sheetViews>
  <sheetFormatPr defaultRowHeight="14.4" x14ac:dyDescent="0.3"/>
  <sheetData>
    <row r="1" spans="1:10" x14ac:dyDescent="0.3">
      <c r="A1" t="s">
        <v>0</v>
      </c>
      <c r="B1" t="s">
        <v>5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</row>
    <row r="2" spans="1:10" x14ac:dyDescent="0.3">
      <c r="A2" t="s">
        <v>1</v>
      </c>
      <c r="B2" t="s">
        <v>6</v>
      </c>
      <c r="C2" s="1">
        <v>0.67210167646408081</v>
      </c>
      <c r="D2" s="1">
        <v>0.65022170543670654</v>
      </c>
      <c r="E2" s="1">
        <v>0.49411261081695557</v>
      </c>
      <c r="F2" s="1">
        <v>-0.51394182443618774</v>
      </c>
      <c r="G2" s="1">
        <v>4.1709143668413162E-2</v>
      </c>
      <c r="H2" s="1">
        <v>0.15981023013591766</v>
      </c>
      <c r="I2" s="1">
        <v>0.1645800918340683</v>
      </c>
      <c r="J2" s="1">
        <v>0.10413298010826111</v>
      </c>
    </row>
    <row r="3" spans="1:10" x14ac:dyDescent="0.3">
      <c r="A3" t="s">
        <v>1</v>
      </c>
      <c r="B3" t="s">
        <v>7</v>
      </c>
      <c r="C3" s="1">
        <v>0.67210167646408081</v>
      </c>
      <c r="D3" s="1">
        <v>0.72322309017181396</v>
      </c>
      <c r="E3" s="1">
        <v>0.56703424453735352</v>
      </c>
      <c r="F3" s="1">
        <v>-0.66149038076400757</v>
      </c>
      <c r="G3" s="1">
        <v>4.33347187936306E-2</v>
      </c>
      <c r="H3" s="1">
        <v>0.11112823337316513</v>
      </c>
      <c r="I3" s="1">
        <v>0.11403289437294006</v>
      </c>
      <c r="J3" s="1">
        <v>0.12957879900932312</v>
      </c>
    </row>
    <row r="4" spans="1:10" x14ac:dyDescent="0.3">
      <c r="A4" t="s">
        <v>1</v>
      </c>
      <c r="B4" t="s">
        <v>8</v>
      </c>
      <c r="C4" s="1">
        <v>0.67210167646408081</v>
      </c>
      <c r="D4" s="1">
        <v>0.72337377071380615</v>
      </c>
      <c r="E4" s="1">
        <v>0.58263826370239258</v>
      </c>
      <c r="F4" s="1">
        <v>-0.66761654615402222</v>
      </c>
      <c r="G4" s="1">
        <v>3.3706143498420715E-2</v>
      </c>
      <c r="H4" s="1">
        <v>0.10809438675642014</v>
      </c>
      <c r="I4" s="1">
        <v>0.11157739907503128</v>
      </c>
      <c r="J4" s="1">
        <v>0.13091038167476654</v>
      </c>
    </row>
    <row r="5" spans="1:10" x14ac:dyDescent="0.3">
      <c r="A5" t="s">
        <v>2</v>
      </c>
      <c r="B5" t="s">
        <v>6</v>
      </c>
      <c r="C5" s="1">
        <v>1.266301155090332</v>
      </c>
      <c r="D5" s="1">
        <v>0.90617865324020386</v>
      </c>
      <c r="E5" s="1">
        <v>0.67638033628463745</v>
      </c>
      <c r="F5" s="1">
        <v>-0.44233492016792297</v>
      </c>
      <c r="G5" s="1">
        <v>0.1260770857334137</v>
      </c>
      <c r="H5" s="1">
        <v>0.15952444076538086</v>
      </c>
      <c r="I5" s="1">
        <v>0.16446523368358612</v>
      </c>
      <c r="J5" s="1">
        <v>0.15016330778598785</v>
      </c>
    </row>
    <row r="6" spans="1:10" x14ac:dyDescent="0.3">
      <c r="A6" t="s">
        <v>2</v>
      </c>
      <c r="B6" t="s">
        <v>7</v>
      </c>
      <c r="C6" s="1">
        <v>1.266301155090332</v>
      </c>
      <c r="D6" s="1">
        <v>1.0151239633560181</v>
      </c>
      <c r="E6" s="1">
        <v>0.8736109733581543</v>
      </c>
      <c r="F6" s="1">
        <v>-0.70187705755233765</v>
      </c>
      <c r="G6" s="1">
        <v>7.9443290829658508E-2</v>
      </c>
      <c r="H6" s="1">
        <v>0.11080285906791687</v>
      </c>
      <c r="I6" s="1">
        <v>0.113897405564785</v>
      </c>
      <c r="J6" s="1">
        <v>0.19135266542434692</v>
      </c>
    </row>
    <row r="7" spans="1:10" x14ac:dyDescent="0.3">
      <c r="A7" t="s">
        <v>2</v>
      </c>
      <c r="B7" t="s">
        <v>8</v>
      </c>
      <c r="C7" s="1">
        <v>1.266301155090332</v>
      </c>
      <c r="D7" s="1">
        <v>1.0185697078704834</v>
      </c>
      <c r="E7" s="1">
        <v>0.90311866998672485</v>
      </c>
      <c r="F7" s="1">
        <v>-0.7168615460395813</v>
      </c>
      <c r="G7" s="1">
        <v>6.147434189915657E-2</v>
      </c>
      <c r="H7" s="1">
        <v>0.10777156054973602</v>
      </c>
      <c r="I7" s="1">
        <v>0.11143328994512558</v>
      </c>
      <c r="J7" s="1">
        <v>0.19383040070533752</v>
      </c>
    </row>
    <row r="8" spans="1:10" x14ac:dyDescent="0.3">
      <c r="A8" t="s">
        <v>3</v>
      </c>
      <c r="B8" t="s">
        <v>6</v>
      </c>
      <c r="C8" s="1">
        <v>1.251535177230835</v>
      </c>
      <c r="D8" s="1">
        <v>0.3780062198638916</v>
      </c>
      <c r="E8" s="1">
        <v>1.3261332511901855</v>
      </c>
      <c r="F8" s="1">
        <v>-0.51745420694351196</v>
      </c>
      <c r="G8" s="1">
        <v>6.4849957823753357E-2</v>
      </c>
      <c r="H8" s="1">
        <v>0.17360170185565948</v>
      </c>
      <c r="I8" s="1">
        <v>0.15712675452232361</v>
      </c>
      <c r="J8" s="1">
        <v>5.7537339627742767E-2</v>
      </c>
    </row>
    <row r="9" spans="1:10" x14ac:dyDescent="0.3">
      <c r="A9" t="s">
        <v>3</v>
      </c>
      <c r="B9" t="s">
        <v>7</v>
      </c>
      <c r="C9" s="1">
        <v>1.251535177230835</v>
      </c>
      <c r="D9" s="1">
        <v>0.3554232120513916</v>
      </c>
      <c r="E9" s="1">
        <v>1.5180802345275879</v>
      </c>
      <c r="F9" s="1">
        <v>-0.72990548610687256</v>
      </c>
      <c r="G9" s="1">
        <v>0.10793717950582504</v>
      </c>
      <c r="H9" s="1">
        <v>0.13108117878437042</v>
      </c>
      <c r="I9" s="1">
        <v>0.12243857979774475</v>
      </c>
      <c r="J9" s="1">
        <v>3.840884193778038E-2</v>
      </c>
    </row>
    <row r="10" spans="1:10" x14ac:dyDescent="0.3">
      <c r="A10" t="s">
        <v>3</v>
      </c>
      <c r="B10" t="s">
        <v>8</v>
      </c>
      <c r="C10" s="1">
        <v>1.251535177230835</v>
      </c>
      <c r="D10" s="1">
        <v>0.35119622945785522</v>
      </c>
      <c r="E10" s="1">
        <v>1.5470281839370728</v>
      </c>
      <c r="F10" s="1">
        <v>-0.73463088274002075</v>
      </c>
      <c r="G10" s="1">
        <v>8.7941601872444153E-2</v>
      </c>
      <c r="H10" s="1">
        <v>0.12842714786529541</v>
      </c>
      <c r="I10" s="1">
        <v>0.12125103175640106</v>
      </c>
      <c r="J10" s="1">
        <v>3.7985976785421371E-2</v>
      </c>
    </row>
    <row r="11" spans="1:10" x14ac:dyDescent="0.3">
      <c r="A11" t="s">
        <v>4</v>
      </c>
      <c r="B11" t="s">
        <v>6</v>
      </c>
      <c r="C11" s="1">
        <v>0.58568841218948364</v>
      </c>
      <c r="D11" s="1">
        <v>1.6021766662597656</v>
      </c>
      <c r="E11" s="1">
        <v>-0.16632144153118134</v>
      </c>
      <c r="F11" s="1">
        <v>-0.26874479651451111</v>
      </c>
      <c r="G11" s="1">
        <v>-0.58142203092575073</v>
      </c>
      <c r="H11" s="1">
        <v>9.5569446682929993E-2</v>
      </c>
      <c r="I11" s="1">
        <v>7.8254587948322296E-2</v>
      </c>
      <c r="J11" s="1">
        <v>1.5305333137512207</v>
      </c>
    </row>
    <row r="12" spans="1:10" x14ac:dyDescent="0.3">
      <c r="A12" t="s">
        <v>4</v>
      </c>
      <c r="B12" t="s">
        <v>7</v>
      </c>
      <c r="C12" s="1">
        <v>0.58568841218948364</v>
      </c>
      <c r="D12" s="1">
        <v>2.1863999366760254</v>
      </c>
      <c r="E12" s="1">
        <v>-8.7705448269844055E-2</v>
      </c>
      <c r="F12" s="1">
        <v>-0.56352061033248901</v>
      </c>
      <c r="G12" s="1">
        <v>-0.94948530197143555</v>
      </c>
      <c r="H12" s="1">
        <v>7.9292386770248413E-2</v>
      </c>
      <c r="I12" s="1">
        <v>5.3881343454122543E-2</v>
      </c>
      <c r="J12" s="1">
        <v>2.4017267227172852</v>
      </c>
    </row>
    <row r="13" spans="1:10" x14ac:dyDescent="0.3">
      <c r="A13" t="s">
        <v>4</v>
      </c>
      <c r="B13" t="s">
        <v>8</v>
      </c>
      <c r="C13" s="1">
        <v>0.58568841218948364</v>
      </c>
      <c r="D13" s="1">
        <v>2.376561164855957</v>
      </c>
      <c r="E13" s="1">
        <v>-6.8809665739536285E-2</v>
      </c>
      <c r="F13" s="1">
        <v>-0.59859389066696167</v>
      </c>
      <c r="G13" s="1">
        <v>-1.1234691143035889</v>
      </c>
      <c r="H13" s="1">
        <v>7.6910868287086487E-2</v>
      </c>
      <c r="I13" s="1">
        <v>4.7883469611406326E-2</v>
      </c>
      <c r="J13" s="1">
        <v>2.8046200275421143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3"/>
  <sheetViews>
    <sheetView topLeftCell="A16" workbookViewId="0">
      <selection activeCell="D4" sqref="D4"/>
    </sheetView>
  </sheetViews>
  <sheetFormatPr defaultRowHeight="14.4" x14ac:dyDescent="0.3"/>
  <sheetData>
    <row r="1" spans="1:10" x14ac:dyDescent="0.3">
      <c r="A1" t="s">
        <v>0</v>
      </c>
      <c r="B1" t="s">
        <v>5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</row>
    <row r="2" spans="1:10" x14ac:dyDescent="0.3">
      <c r="A2" t="s">
        <v>1</v>
      </c>
      <c r="B2" t="s">
        <v>17</v>
      </c>
      <c r="C2" s="1">
        <v>0.25216925144195557</v>
      </c>
      <c r="D2" s="1">
        <v>0.20798391103744507</v>
      </c>
      <c r="E2" s="1">
        <v>0.18776308000087738</v>
      </c>
      <c r="F2" s="1">
        <v>-0.18516120314598083</v>
      </c>
      <c r="G2" s="1">
        <v>4.1583463549613953E-2</v>
      </c>
      <c r="H2" s="1">
        <v>0.20082211494445801</v>
      </c>
      <c r="I2" s="1">
        <v>0.29125156998634338</v>
      </c>
      <c r="J2" s="1">
        <v>0.16920569539070129</v>
      </c>
    </row>
    <row r="3" spans="1:10" x14ac:dyDescent="0.3">
      <c r="A3" t="s">
        <v>1</v>
      </c>
      <c r="B3" t="s">
        <v>18</v>
      </c>
      <c r="C3" s="1">
        <v>0.25216925144195557</v>
      </c>
      <c r="D3" s="1">
        <v>-4.068699199706316E-3</v>
      </c>
      <c r="E3" s="1">
        <v>-0.69522130489349365</v>
      </c>
      <c r="F3" s="1">
        <v>0.19377337396144867</v>
      </c>
      <c r="G3" s="1">
        <v>0.75768589973449707</v>
      </c>
      <c r="H3" s="1">
        <v>9.1198615729808807E-2</v>
      </c>
      <c r="I3" s="1">
        <v>0.11466939002275467</v>
      </c>
      <c r="J3" s="1">
        <v>0.3601682186126709</v>
      </c>
    </row>
    <row r="4" spans="1:10" x14ac:dyDescent="0.3">
      <c r="A4" t="s">
        <v>1</v>
      </c>
      <c r="B4" t="s">
        <v>19</v>
      </c>
      <c r="C4" s="1">
        <v>0.25216925144195557</v>
      </c>
      <c r="D4" s="1">
        <v>-7.1630343794822693E-2</v>
      </c>
      <c r="E4" s="1">
        <v>-0.63817942142486572</v>
      </c>
      <c r="F4" s="1">
        <v>0.81738632917404175</v>
      </c>
      <c r="G4" s="1">
        <v>0.14459271728992462</v>
      </c>
      <c r="H4" s="1">
        <v>0.31332740187644958</v>
      </c>
      <c r="I4" s="1">
        <v>0.31623634696006775</v>
      </c>
      <c r="J4" s="1">
        <v>0.20643645524978638</v>
      </c>
    </row>
    <row r="5" spans="1:10" x14ac:dyDescent="0.3">
      <c r="A5" t="s">
        <v>2</v>
      </c>
      <c r="B5" t="s">
        <v>17</v>
      </c>
      <c r="C5" s="1">
        <v>0.55749624967575073</v>
      </c>
      <c r="D5" s="1">
        <v>0.40494677424430847</v>
      </c>
      <c r="E5" s="1">
        <v>-6.4012989401817322E-2</v>
      </c>
      <c r="F5" s="1">
        <v>4.3752998113632202E-2</v>
      </c>
      <c r="G5" s="1">
        <v>0.17280945181846619</v>
      </c>
      <c r="H5" s="1">
        <v>0.20101416110992432</v>
      </c>
      <c r="I5" s="1">
        <v>0.28919693827629089</v>
      </c>
      <c r="J5" s="1">
        <v>0.19849319756031036</v>
      </c>
    </row>
    <row r="6" spans="1:10" x14ac:dyDescent="0.3">
      <c r="A6" t="s">
        <v>2</v>
      </c>
      <c r="B6" t="s">
        <v>18</v>
      </c>
      <c r="C6" s="1">
        <v>0.55749624967575073</v>
      </c>
      <c r="D6" s="1">
        <v>0.17335079610347748</v>
      </c>
      <c r="E6" s="1">
        <v>-0.93817323446273804</v>
      </c>
      <c r="F6" s="1">
        <v>0.39266771078109741</v>
      </c>
      <c r="G6" s="1">
        <v>0.92965096235275269</v>
      </c>
      <c r="H6" s="1">
        <v>9.0140998363494873E-2</v>
      </c>
      <c r="I6" s="1">
        <v>0.11399472504854202</v>
      </c>
      <c r="J6" s="1">
        <v>0.41339194774627686</v>
      </c>
    </row>
    <row r="7" spans="1:10" x14ac:dyDescent="0.3">
      <c r="A7" t="s">
        <v>2</v>
      </c>
      <c r="B7" t="s">
        <v>19</v>
      </c>
      <c r="C7" s="1">
        <v>0.55749624967575073</v>
      </c>
      <c r="D7" s="1">
        <v>0.20114883780479431</v>
      </c>
      <c r="E7" s="1">
        <v>-0.59465587139129639</v>
      </c>
      <c r="F7" s="1">
        <v>0.81780916452407837</v>
      </c>
      <c r="G7" s="1">
        <v>0.13319410383701324</v>
      </c>
      <c r="H7" s="1">
        <v>0.3104197084903717</v>
      </c>
      <c r="I7" s="1">
        <v>0.31382009387016296</v>
      </c>
      <c r="J7" s="1">
        <v>0.23631103336811066</v>
      </c>
    </row>
    <row r="8" spans="1:10" x14ac:dyDescent="0.3">
      <c r="A8" t="s">
        <v>3</v>
      </c>
      <c r="B8" t="s">
        <v>17</v>
      </c>
      <c r="C8" s="1">
        <v>1.3463313579559326</v>
      </c>
      <c r="D8" s="1">
        <v>1.0056631565093994</v>
      </c>
      <c r="E8" s="1">
        <v>-0.24953478574752808</v>
      </c>
      <c r="F8" s="1">
        <v>0.18964533507823944</v>
      </c>
      <c r="G8" s="1">
        <v>0.40055766701698303</v>
      </c>
      <c r="H8" s="1">
        <v>0.2155158668756485</v>
      </c>
      <c r="I8" s="1">
        <v>0.1732376366853714</v>
      </c>
      <c r="J8" s="1">
        <v>0.37982675433158875</v>
      </c>
    </row>
    <row r="9" spans="1:10" x14ac:dyDescent="0.3">
      <c r="A9" t="s">
        <v>3</v>
      </c>
      <c r="B9" t="s">
        <v>18</v>
      </c>
      <c r="C9" s="1">
        <v>1.3463313579559326</v>
      </c>
      <c r="D9" s="1">
        <v>1.2878360748291016</v>
      </c>
      <c r="E9" s="1">
        <v>-0.31272980570793152</v>
      </c>
      <c r="F9" s="1">
        <v>-0.3329412043094635</v>
      </c>
      <c r="G9" s="1">
        <v>0.70416641235351563</v>
      </c>
      <c r="H9" s="1">
        <v>7.8250721096992493E-2</v>
      </c>
      <c r="I9" s="1">
        <v>6.5459780395030975E-2</v>
      </c>
      <c r="J9" s="1">
        <v>0.21625067293643951</v>
      </c>
    </row>
    <row r="10" spans="1:10" x14ac:dyDescent="0.3">
      <c r="A10" t="s">
        <v>3</v>
      </c>
      <c r="B10" t="s">
        <v>19</v>
      </c>
      <c r="C10" s="1">
        <v>1.3463313579559326</v>
      </c>
      <c r="D10" s="1">
        <v>1.274523138999939</v>
      </c>
      <c r="E10" s="1">
        <v>1.5913042007014155E-3</v>
      </c>
      <c r="F10" s="1">
        <v>-0.21980385482311249</v>
      </c>
      <c r="G10" s="1">
        <v>0.29002082347869873</v>
      </c>
      <c r="H10" s="1">
        <v>0.11065917462110519</v>
      </c>
      <c r="I10" s="1">
        <v>9.3966290354728699E-2</v>
      </c>
      <c r="J10" s="1">
        <v>0.17356869578361511</v>
      </c>
    </row>
    <row r="11" spans="1:10" x14ac:dyDescent="0.3">
      <c r="A11" t="s">
        <v>4</v>
      </c>
      <c r="B11" t="s">
        <v>17</v>
      </c>
      <c r="C11" s="1">
        <v>-0.28902655839920044</v>
      </c>
      <c r="D11" s="1">
        <v>0.16197089850902557</v>
      </c>
      <c r="E11" s="1">
        <v>-0.41745176911354065</v>
      </c>
      <c r="F11" s="1">
        <v>-0.19959622621536255</v>
      </c>
      <c r="G11" s="1">
        <v>0.16605055332183838</v>
      </c>
      <c r="H11" s="1">
        <v>7.7750824391841888E-2</v>
      </c>
      <c r="I11" s="1">
        <v>0.23955851793289185</v>
      </c>
      <c r="J11" s="1">
        <v>0.20110411942005157</v>
      </c>
    </row>
    <row r="12" spans="1:10" x14ac:dyDescent="0.3">
      <c r="A12" t="s">
        <v>4</v>
      </c>
      <c r="B12" t="s">
        <v>18</v>
      </c>
      <c r="C12" s="1">
        <v>-0.28902655839920044</v>
      </c>
      <c r="D12" s="1">
        <v>-0.26038628816604614</v>
      </c>
      <c r="E12" s="1">
        <v>-0.89296436309814453</v>
      </c>
      <c r="F12" s="1">
        <v>0.37420558929443359</v>
      </c>
      <c r="G12" s="1">
        <v>0.49011850357055664</v>
      </c>
      <c r="H12" s="1">
        <v>7.4694693088531494E-2</v>
      </c>
      <c r="I12" s="1">
        <v>0.13532653450965881</v>
      </c>
      <c r="J12" s="1">
        <v>0.4390309751033783</v>
      </c>
    </row>
    <row r="13" spans="1:10" x14ac:dyDescent="0.3">
      <c r="A13" t="s">
        <v>4</v>
      </c>
      <c r="B13" t="s">
        <v>19</v>
      </c>
      <c r="C13" s="1">
        <v>-0.28902655839920044</v>
      </c>
      <c r="D13" s="1">
        <v>-0.17113719880580902</v>
      </c>
      <c r="E13" s="1">
        <v>-0.28866946697235107</v>
      </c>
      <c r="F13" s="1">
        <v>0.16761079430580139</v>
      </c>
      <c r="G13" s="1">
        <v>3.1693133059889078E-3</v>
      </c>
      <c r="H13" s="1">
        <v>0.43377617001533508</v>
      </c>
      <c r="I13" s="1">
        <v>0.78068250417709351</v>
      </c>
      <c r="J13" s="1">
        <v>0.16462324559688568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3"/>
  <sheetViews>
    <sheetView workbookViewId="0"/>
  </sheetViews>
  <sheetFormatPr defaultRowHeight="14.4" x14ac:dyDescent="0.3"/>
  <sheetData>
    <row r="1" spans="1:10" x14ac:dyDescent="0.3">
      <c r="A1" t="s">
        <v>0</v>
      </c>
      <c r="B1" t="s">
        <v>5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</row>
    <row r="2" spans="1:10" x14ac:dyDescent="0.3">
      <c r="A2" t="s">
        <v>1</v>
      </c>
      <c r="B2" t="s">
        <v>17</v>
      </c>
      <c r="C2" s="1">
        <v>-0.23845955729484558</v>
      </c>
      <c r="D2" s="1">
        <v>-0.31316888332366943</v>
      </c>
      <c r="E2" s="1">
        <v>-0.11543893069028854</v>
      </c>
      <c r="F2" s="1">
        <v>0.19930373132228851</v>
      </c>
      <c r="G2" s="1">
        <v>-9.1554904356598854E-3</v>
      </c>
      <c r="H2" s="1">
        <v>0.25394049286842346</v>
      </c>
      <c r="I2" s="1">
        <v>0.42414271831512451</v>
      </c>
      <c r="J2" s="1">
        <v>2.321770042181015E-2</v>
      </c>
    </row>
    <row r="3" spans="1:10" x14ac:dyDescent="0.3">
      <c r="A3" t="s">
        <v>1</v>
      </c>
      <c r="B3" t="s">
        <v>18</v>
      </c>
      <c r="C3" s="1">
        <v>-0.23845955729484558</v>
      </c>
      <c r="D3" s="1">
        <v>-0.35226672887802124</v>
      </c>
      <c r="E3" s="1">
        <v>-0.14616774022579193</v>
      </c>
      <c r="F3" s="1">
        <v>0.27133044600486755</v>
      </c>
      <c r="G3" s="1">
        <v>-1.1355550959706306E-2</v>
      </c>
      <c r="H3" s="1">
        <v>0.21378470957279205</v>
      </c>
      <c r="I3" s="1">
        <v>0.37578359246253967</v>
      </c>
      <c r="J3" s="1">
        <v>2.4763882160186768E-2</v>
      </c>
    </row>
    <row r="4" spans="1:10" x14ac:dyDescent="0.3">
      <c r="A4" t="s">
        <v>1</v>
      </c>
      <c r="B4" t="s">
        <v>18</v>
      </c>
      <c r="C4" s="1">
        <v>-0.23845955729484558</v>
      </c>
      <c r="D4" s="1">
        <v>-0.35226672887802124</v>
      </c>
      <c r="E4" s="1">
        <v>-0.14616774022579193</v>
      </c>
      <c r="F4" s="1">
        <v>0.27133044600486755</v>
      </c>
      <c r="G4" s="1">
        <v>-1.1355550959706306E-2</v>
      </c>
      <c r="H4" s="1">
        <v>0.21378470957279205</v>
      </c>
      <c r="I4" s="1">
        <v>0.37578359246253967</v>
      </c>
      <c r="J4" s="1">
        <v>2.4763882160186768E-2</v>
      </c>
    </row>
    <row r="5" spans="1:10" x14ac:dyDescent="0.3">
      <c r="A5" t="s">
        <v>2</v>
      </c>
      <c r="B5" t="s">
        <v>17</v>
      </c>
      <c r="C5" s="1">
        <v>-0.10218772292137146</v>
      </c>
      <c r="D5" s="1">
        <v>-0.21174101531505585</v>
      </c>
      <c r="E5" s="1">
        <v>-5.5929377675056458E-2</v>
      </c>
      <c r="F5" s="1">
        <v>0.11499632894992828</v>
      </c>
      <c r="G5" s="1">
        <v>5.0486341118812561E-2</v>
      </c>
      <c r="H5" s="1">
        <v>0.1145029291510582</v>
      </c>
      <c r="I5" s="1">
        <v>0.19114311039447784</v>
      </c>
      <c r="J5" s="1">
        <v>4.5481245964765549E-2</v>
      </c>
    </row>
    <row r="6" spans="1:10" x14ac:dyDescent="0.3">
      <c r="A6" t="s">
        <v>2</v>
      </c>
      <c r="B6" t="s">
        <v>18</v>
      </c>
      <c r="C6" s="1">
        <v>-0.10218772292137146</v>
      </c>
      <c r="D6" s="1">
        <v>-0.34873604774475098</v>
      </c>
      <c r="E6" s="1">
        <v>-0.14555549621582031</v>
      </c>
      <c r="F6" s="1">
        <v>0.38182544708251953</v>
      </c>
      <c r="G6" s="1">
        <v>1.0278359986841679E-2</v>
      </c>
      <c r="H6" s="1">
        <v>5.528828501701355E-2</v>
      </c>
      <c r="I6" s="1">
        <v>0.10735005885362625</v>
      </c>
      <c r="J6" s="1">
        <v>6.2916375696659088E-2</v>
      </c>
    </row>
    <row r="7" spans="1:10" x14ac:dyDescent="0.3">
      <c r="A7" t="s">
        <v>2</v>
      </c>
      <c r="B7" t="s">
        <v>18</v>
      </c>
      <c r="C7" s="1">
        <v>-0.10218772292137146</v>
      </c>
      <c r="D7" s="1">
        <v>-0.34873604774475098</v>
      </c>
      <c r="E7" s="1">
        <v>-0.14555549621582031</v>
      </c>
      <c r="F7" s="1">
        <v>0.38182544708251953</v>
      </c>
      <c r="G7" s="1">
        <v>1.0278359986841679E-2</v>
      </c>
      <c r="H7" s="1">
        <v>5.528828501701355E-2</v>
      </c>
      <c r="I7" s="1">
        <v>0.10735005885362625</v>
      </c>
      <c r="J7" s="1">
        <v>6.2916375696659088E-2</v>
      </c>
    </row>
    <row r="8" spans="1:10" x14ac:dyDescent="0.3">
      <c r="A8" t="s">
        <v>3</v>
      </c>
      <c r="B8" t="s">
        <v>17</v>
      </c>
      <c r="C8" s="1">
        <v>-0.20421524345874786</v>
      </c>
      <c r="D8" s="1">
        <v>-0.29385325312614441</v>
      </c>
      <c r="E8" s="1">
        <v>2.7005521580576897E-2</v>
      </c>
      <c r="F8" s="1">
        <v>8.0620139837265015E-2</v>
      </c>
      <c r="G8" s="1">
        <v>-1.7987644299864769E-2</v>
      </c>
      <c r="H8" s="1">
        <v>0.10548848658800125</v>
      </c>
      <c r="I8" s="1">
        <v>0.18910388648509979</v>
      </c>
      <c r="J8" s="1">
        <v>4.6200867742300034E-2</v>
      </c>
    </row>
    <row r="9" spans="1:10" x14ac:dyDescent="0.3">
      <c r="A9" t="s">
        <v>3</v>
      </c>
      <c r="B9" t="s">
        <v>18</v>
      </c>
      <c r="C9" s="1">
        <v>-0.20421524345874786</v>
      </c>
      <c r="D9" s="1">
        <v>-0.3862718939781189</v>
      </c>
      <c r="E9" s="1">
        <v>6.134883314371109E-2</v>
      </c>
      <c r="F9" s="1">
        <v>0.21307295560836792</v>
      </c>
      <c r="G9" s="1">
        <v>-9.2365145683288574E-2</v>
      </c>
      <c r="H9" s="1">
        <v>6.1534713953733444E-2</v>
      </c>
      <c r="I9" s="1">
        <v>0.13035792112350464</v>
      </c>
      <c r="J9" s="1">
        <v>5.520499125123024E-2</v>
      </c>
    </row>
    <row r="10" spans="1:10" x14ac:dyDescent="0.3">
      <c r="A10" t="s">
        <v>3</v>
      </c>
      <c r="B10" t="s">
        <v>18</v>
      </c>
      <c r="C10" s="1">
        <v>-0.20421524345874786</v>
      </c>
      <c r="D10" s="1">
        <v>-0.3862718939781189</v>
      </c>
      <c r="E10" s="1">
        <v>6.134883314371109E-2</v>
      </c>
      <c r="F10" s="1">
        <v>0.21307295560836792</v>
      </c>
      <c r="G10" s="1">
        <v>-9.2365145683288574E-2</v>
      </c>
      <c r="H10" s="1">
        <v>6.1534713953733444E-2</v>
      </c>
      <c r="I10" s="1">
        <v>0.13035792112350464</v>
      </c>
      <c r="J10" s="1">
        <v>5.520499125123024E-2</v>
      </c>
    </row>
    <row r="11" spans="1:10" x14ac:dyDescent="0.3">
      <c r="A11" t="s">
        <v>4</v>
      </c>
      <c r="B11" t="s">
        <v>17</v>
      </c>
      <c r="C11" s="1">
        <v>0.24847087264060974</v>
      </c>
      <c r="D11" s="1">
        <v>0.13043473660945892</v>
      </c>
      <c r="E11" s="1">
        <v>-5.5827847681939602E-3</v>
      </c>
      <c r="F11" s="1">
        <v>-7.2856312617659569E-3</v>
      </c>
      <c r="G11" s="1">
        <v>0.13090455532073975</v>
      </c>
      <c r="H11" s="1">
        <v>3.1208623200654984E-2</v>
      </c>
      <c r="I11" s="1">
        <v>6.6944621503353119E-2</v>
      </c>
      <c r="J11" s="1">
        <v>0.12731148302555084</v>
      </c>
    </row>
    <row r="12" spans="1:10" x14ac:dyDescent="0.3">
      <c r="A12" t="s">
        <v>4</v>
      </c>
      <c r="B12" t="s">
        <v>18</v>
      </c>
      <c r="C12" s="1">
        <v>0.24847087264060974</v>
      </c>
      <c r="D12" s="1">
        <v>0.13118064403533936</v>
      </c>
      <c r="E12" s="1">
        <v>0.18219810724258423</v>
      </c>
      <c r="F12" s="1">
        <v>-5.9926174581050873E-2</v>
      </c>
      <c r="G12" s="1">
        <v>-4.9817110411822796E-3</v>
      </c>
      <c r="H12" s="1">
        <v>1.5698079019784927E-2</v>
      </c>
      <c r="I12" s="1">
        <v>3.2633189111948013E-2</v>
      </c>
      <c r="J12" s="1">
        <v>0.16432151198387146</v>
      </c>
    </row>
    <row r="13" spans="1:10" x14ac:dyDescent="0.3">
      <c r="A13" t="s">
        <v>4</v>
      </c>
      <c r="B13" t="s">
        <v>18</v>
      </c>
      <c r="C13" s="1">
        <v>0.24847087264060974</v>
      </c>
      <c r="D13" s="1">
        <v>0.13118064403533936</v>
      </c>
      <c r="E13" s="1">
        <v>0.18219810724258423</v>
      </c>
      <c r="F13" s="1">
        <v>-5.9926174581050873E-2</v>
      </c>
      <c r="G13" s="1">
        <v>-4.9817110411822796E-3</v>
      </c>
      <c r="H13" s="1">
        <v>1.5698079019784927E-2</v>
      </c>
      <c r="I13" s="1">
        <v>3.2633189111948013E-2</v>
      </c>
      <c r="J13" s="1">
        <v>0.16432151198387146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3"/>
  <sheetViews>
    <sheetView workbookViewId="0"/>
  </sheetViews>
  <sheetFormatPr defaultRowHeight="14.4" x14ac:dyDescent="0.3"/>
  <sheetData>
    <row r="1" spans="1:10" x14ac:dyDescent="0.3">
      <c r="A1" t="s">
        <v>0</v>
      </c>
      <c r="B1" t="s">
        <v>5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</row>
    <row r="2" spans="1:10" x14ac:dyDescent="0.3">
      <c r="A2" t="s">
        <v>1</v>
      </c>
      <c r="B2" t="s">
        <v>17</v>
      </c>
      <c r="C2" s="1">
        <v>-9.7458019852638245E-2</v>
      </c>
      <c r="D2" s="1">
        <v>-4.5605503022670746E-2</v>
      </c>
      <c r="E2" s="1">
        <v>-0.2373901903629303</v>
      </c>
      <c r="F2" s="1">
        <v>0.2267708033323288</v>
      </c>
      <c r="G2" s="1">
        <v>-4.1233129799365997E-2</v>
      </c>
      <c r="H2" s="1">
        <v>0.29996180534362793</v>
      </c>
      <c r="I2" s="1">
        <v>0.35837453603744507</v>
      </c>
      <c r="J2" s="1">
        <v>2.8672469779849052E-2</v>
      </c>
    </row>
    <row r="3" spans="1:10" x14ac:dyDescent="0.3">
      <c r="A3" t="s">
        <v>1</v>
      </c>
      <c r="B3" t="s">
        <v>18</v>
      </c>
      <c r="C3" s="1">
        <v>-9.7458019852638245E-2</v>
      </c>
      <c r="D3" s="1">
        <v>-6.0622729361057281E-2</v>
      </c>
      <c r="E3" s="1">
        <v>-0.28072389960289001</v>
      </c>
      <c r="F3" s="1">
        <v>0.27360564470291138</v>
      </c>
      <c r="G3" s="1">
        <v>-2.9717041179537773E-2</v>
      </c>
      <c r="H3" s="1">
        <v>0.27268713712692261</v>
      </c>
      <c r="I3" s="1">
        <v>0.33019950985908508</v>
      </c>
      <c r="J3" s="1">
        <v>2.9680864885449409E-2</v>
      </c>
    </row>
    <row r="4" spans="1:10" x14ac:dyDescent="0.3">
      <c r="A4" t="s">
        <v>1</v>
      </c>
      <c r="B4" t="s">
        <v>18</v>
      </c>
      <c r="C4" s="1">
        <v>-9.7458019852638245E-2</v>
      </c>
      <c r="D4" s="1">
        <v>-6.0622729361057281E-2</v>
      </c>
      <c r="E4" s="1">
        <v>-0.28072389960289001</v>
      </c>
      <c r="F4" s="1">
        <v>0.27360564470291138</v>
      </c>
      <c r="G4" s="1">
        <v>-2.9717041179537773E-2</v>
      </c>
      <c r="H4" s="1">
        <v>0.27268713712692261</v>
      </c>
      <c r="I4" s="1">
        <v>0.33019950985908508</v>
      </c>
      <c r="J4" s="1">
        <v>2.9680864885449409E-2</v>
      </c>
    </row>
    <row r="5" spans="1:10" x14ac:dyDescent="0.3">
      <c r="A5" t="s">
        <v>2</v>
      </c>
      <c r="B5" t="s">
        <v>17</v>
      </c>
      <c r="C5" s="1">
        <v>3.5460937768220901E-2</v>
      </c>
      <c r="D5" s="1">
        <v>0.11769745498895645</v>
      </c>
      <c r="E5" s="1">
        <v>0.14351727068424225</v>
      </c>
      <c r="F5" s="1">
        <v>-0.14843329787254333</v>
      </c>
      <c r="G5" s="1">
        <v>-7.7320486307144165E-2</v>
      </c>
      <c r="H5" s="1">
        <v>0.1707022488117218</v>
      </c>
      <c r="I5" s="1">
        <v>0.16883504390716553</v>
      </c>
      <c r="J5" s="1">
        <v>4.6302434056997299E-2</v>
      </c>
    </row>
    <row r="6" spans="1:10" x14ac:dyDescent="0.3">
      <c r="A6" t="s">
        <v>2</v>
      </c>
      <c r="B6" t="s">
        <v>18</v>
      </c>
      <c r="C6" s="1">
        <v>3.5460937768220901E-2</v>
      </c>
      <c r="D6" s="1">
        <v>5.6286845356225967E-2</v>
      </c>
      <c r="E6" s="1">
        <v>0.10845781117677689</v>
      </c>
      <c r="F6" s="1">
        <v>-8.1278450787067413E-2</v>
      </c>
      <c r="G6" s="1">
        <v>-4.8005267977714539E-2</v>
      </c>
      <c r="H6" s="1">
        <v>0.11795267462730408</v>
      </c>
      <c r="I6" s="1">
        <v>0.11774159967899323</v>
      </c>
      <c r="J6" s="1">
        <v>5.3238943219184875E-2</v>
      </c>
    </row>
    <row r="7" spans="1:10" x14ac:dyDescent="0.3">
      <c r="A7" t="s">
        <v>2</v>
      </c>
      <c r="B7" t="s">
        <v>18</v>
      </c>
      <c r="C7" s="1">
        <v>3.5460937768220901E-2</v>
      </c>
      <c r="D7" s="1">
        <v>5.6286845356225967E-2</v>
      </c>
      <c r="E7" s="1">
        <v>0.10845781117677689</v>
      </c>
      <c r="F7" s="1">
        <v>-8.1278450787067413E-2</v>
      </c>
      <c r="G7" s="1">
        <v>-4.8005267977714539E-2</v>
      </c>
      <c r="H7" s="1">
        <v>0.11795267462730408</v>
      </c>
      <c r="I7" s="1">
        <v>0.11774159967899323</v>
      </c>
      <c r="J7" s="1">
        <v>5.3238943219184875E-2</v>
      </c>
    </row>
    <row r="8" spans="1:10" x14ac:dyDescent="0.3">
      <c r="A8" t="s">
        <v>3</v>
      </c>
      <c r="B8" t="s">
        <v>17</v>
      </c>
      <c r="C8" s="1">
        <v>8.7672276422381401E-3</v>
      </c>
      <c r="D8" s="1">
        <v>-9.9685369059443474E-3</v>
      </c>
      <c r="E8" s="1">
        <v>0.16347457468509674</v>
      </c>
      <c r="F8" s="1">
        <v>-0.12507416307926178</v>
      </c>
      <c r="G8" s="1">
        <v>-1.9664648920297623E-2</v>
      </c>
      <c r="H8" s="1">
        <v>0.12717331945896149</v>
      </c>
      <c r="I8" s="1">
        <v>0.12753355503082275</v>
      </c>
      <c r="J8" s="1">
        <v>5.3065009415149689E-2</v>
      </c>
    </row>
    <row r="9" spans="1:10" x14ac:dyDescent="0.3">
      <c r="A9" t="s">
        <v>3</v>
      </c>
      <c r="B9" t="s">
        <v>18</v>
      </c>
      <c r="C9" s="1">
        <v>8.7672276422381401E-3</v>
      </c>
      <c r="D9" s="1">
        <v>-5.7618562132120132E-2</v>
      </c>
      <c r="E9" s="1">
        <v>0.20907938480377197</v>
      </c>
      <c r="F9" s="1">
        <v>-0.11866196244955063</v>
      </c>
      <c r="G9" s="1">
        <v>-2.4031644687056541E-2</v>
      </c>
      <c r="H9" s="1">
        <v>0.10381320863962173</v>
      </c>
      <c r="I9" s="1">
        <v>0.10094577819108963</v>
      </c>
      <c r="J9" s="1">
        <v>5.7089079171419144E-2</v>
      </c>
    </row>
    <row r="10" spans="1:10" x14ac:dyDescent="0.3">
      <c r="A10" t="s">
        <v>3</v>
      </c>
      <c r="B10" t="s">
        <v>18</v>
      </c>
      <c r="C10" s="1">
        <v>8.7672276422381401E-3</v>
      </c>
      <c r="D10" s="1">
        <v>-5.7618562132120132E-2</v>
      </c>
      <c r="E10" s="1">
        <v>0.20907938480377197</v>
      </c>
      <c r="F10" s="1">
        <v>-0.11866196244955063</v>
      </c>
      <c r="G10" s="1">
        <v>-2.4031644687056541E-2</v>
      </c>
      <c r="H10" s="1">
        <v>0.10381320863962173</v>
      </c>
      <c r="I10" s="1">
        <v>0.10094577819108963</v>
      </c>
      <c r="J10" s="1">
        <v>5.7089079171419144E-2</v>
      </c>
    </row>
    <row r="11" spans="1:10" x14ac:dyDescent="0.3">
      <c r="A11" t="s">
        <v>4</v>
      </c>
      <c r="B11" t="s">
        <v>17</v>
      </c>
      <c r="C11" s="1">
        <v>2.5234919041395187E-2</v>
      </c>
      <c r="D11" s="1">
        <v>0.41684529185295105</v>
      </c>
      <c r="E11" s="1">
        <v>-0.22637520730495453</v>
      </c>
      <c r="F11" s="1">
        <v>3.2859064638614655E-2</v>
      </c>
      <c r="G11" s="1">
        <v>-0.19809421896934509</v>
      </c>
      <c r="H11" s="1">
        <v>3.6938510835170746E-2</v>
      </c>
      <c r="I11" s="1">
        <v>8.7869882583618164E-2</v>
      </c>
      <c r="J11" s="1">
        <v>0.22953230142593384</v>
      </c>
    </row>
    <row r="12" spans="1:10" x14ac:dyDescent="0.3">
      <c r="A12" t="s">
        <v>4</v>
      </c>
      <c r="B12" t="s">
        <v>18</v>
      </c>
      <c r="C12" s="1">
        <v>2.5234919041395187E-2</v>
      </c>
      <c r="D12" s="1">
        <v>0.49784642457962036</v>
      </c>
      <c r="E12" s="1">
        <v>-0.29537099599838257</v>
      </c>
      <c r="F12" s="1">
        <v>-3.0911402776837349E-2</v>
      </c>
      <c r="G12" s="1">
        <v>-0.14632910490036011</v>
      </c>
      <c r="H12" s="1">
        <v>2.1792588755488396E-2</v>
      </c>
      <c r="I12" s="1">
        <v>5.7689085602760315E-2</v>
      </c>
      <c r="J12" s="1">
        <v>0.27072933316230774</v>
      </c>
    </row>
    <row r="13" spans="1:10" x14ac:dyDescent="0.3">
      <c r="A13" t="s">
        <v>4</v>
      </c>
      <c r="B13" t="s">
        <v>18</v>
      </c>
      <c r="C13" s="1">
        <v>2.5234919041395187E-2</v>
      </c>
      <c r="D13" s="1">
        <v>0.49784642457962036</v>
      </c>
      <c r="E13" s="1">
        <v>-0.29537099599838257</v>
      </c>
      <c r="F13" s="1">
        <v>-3.0911402776837349E-2</v>
      </c>
      <c r="G13" s="1">
        <v>-0.14632910490036011</v>
      </c>
      <c r="H13" s="1">
        <v>2.1792588755488396E-2</v>
      </c>
      <c r="I13" s="1">
        <v>5.7689085602760315E-2</v>
      </c>
      <c r="J13" s="1">
        <v>0.27072933316230774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Summary_total</vt:lpstr>
      <vt:lpstr>Summary_perhour</vt:lpstr>
      <vt:lpstr>GMB By sex</vt:lpstr>
      <vt:lpstr>MRT By sex</vt:lpstr>
      <vt:lpstr>SEN By sex</vt:lpstr>
      <vt:lpstr>GNB By sex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Sergio A. Rivera</cp:lastModifiedBy>
  <dcterms:modified xsi:type="dcterms:W3CDTF">2025-03-21T16:33:41Z</dcterms:modified>
</cp:coreProperties>
</file>