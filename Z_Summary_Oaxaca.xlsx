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rgio_Rivera\Work\World_Bank\Poverty\P4 Africa Oaxaca Decomposition\4_Outputs\Tables\"/>
    </mc:Choice>
  </mc:AlternateContent>
  <xr:revisionPtr revIDLastSave="0" documentId="13_ncr:1_{2FF519C0-9FC6-4472-A6BC-55BBA7B6136A}" xr6:coauthVersionLast="47" xr6:coauthVersionMax="47" xr10:uidLastSave="{00000000-0000-0000-0000-000000000000}"/>
  <bookViews>
    <workbookView xWindow="28680" yWindow="-120" windowWidth="38640" windowHeight="21840" activeTab="3" xr2:uid="{7B1A21E7-506F-46C5-8084-1DB89570DD1B}"/>
  </bookViews>
  <sheets>
    <sheet name="Total income" sheetId="2" r:id="rId1"/>
    <sheet name="Per hour" sheetId="3" r:id="rId2"/>
    <sheet name="Selfemp" sheetId="4" r:id="rId3"/>
    <sheet name="Salaried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7" i="3"/>
  <c r="G9" i="3"/>
  <c r="G18" i="3"/>
  <c r="G19" i="3"/>
  <c r="E5" i="3"/>
  <c r="E8" i="3"/>
  <c r="E9" i="3"/>
  <c r="E16" i="3"/>
  <c r="E17" i="3"/>
  <c r="E18" i="3"/>
  <c r="E19" i="3"/>
  <c r="D7" i="3"/>
  <c r="D8" i="3"/>
  <c r="D9" i="3"/>
  <c r="D16" i="3"/>
  <c r="D17" i="3"/>
  <c r="D18" i="3"/>
  <c r="D19" i="3"/>
  <c r="D5" i="3"/>
  <c r="F7" i="2"/>
  <c r="F17" i="2"/>
  <c r="F19" i="2"/>
  <c r="F20" i="2"/>
  <c r="F21" i="2"/>
  <c r="E18" i="2"/>
  <c r="E20" i="2"/>
  <c r="E21" i="2"/>
  <c r="D5" i="2"/>
  <c r="D7" i="2"/>
  <c r="D17" i="2"/>
  <c r="D21" i="2"/>
  <c r="C8" i="2"/>
  <c r="C9" i="2"/>
  <c r="C18" i="2"/>
  <c r="G5" i="4"/>
  <c r="G7" i="4"/>
  <c r="G8" i="4"/>
  <c r="G9" i="4"/>
  <c r="G17" i="4"/>
  <c r="G18" i="4"/>
  <c r="G19" i="4"/>
  <c r="G20" i="4"/>
  <c r="G21" i="4"/>
  <c r="G22" i="4"/>
  <c r="F5" i="4"/>
  <c r="F8" i="4"/>
  <c r="F9" i="4"/>
  <c r="F12" i="4"/>
  <c r="F14" i="4"/>
  <c r="F15" i="4"/>
  <c r="F17" i="4"/>
  <c r="F19" i="4"/>
  <c r="F20" i="4"/>
  <c r="E7" i="4"/>
  <c r="E8" i="4"/>
  <c r="E9" i="4"/>
  <c r="E17" i="4"/>
  <c r="E18" i="4"/>
  <c r="E19" i="4"/>
  <c r="E20" i="4"/>
  <c r="E21" i="4"/>
  <c r="F5" i="5"/>
  <c r="F8" i="5"/>
  <c r="F9" i="5"/>
  <c r="F18" i="5"/>
  <c r="F19" i="5"/>
  <c r="F20" i="5"/>
  <c r="F21" i="5"/>
  <c r="E5" i="5"/>
  <c r="E20" i="5"/>
  <c r="E21" i="5"/>
  <c r="G8" i="3"/>
  <c r="G13" i="3"/>
  <c r="G16" i="3"/>
  <c r="E22" i="4"/>
  <c r="E15" i="4"/>
  <c r="E14" i="4"/>
  <c r="E13" i="4"/>
  <c r="E12" i="4"/>
  <c r="E11" i="4"/>
  <c r="E5" i="4"/>
  <c r="D22" i="4"/>
  <c r="D21" i="4"/>
  <c r="D20" i="4"/>
  <c r="D19" i="4"/>
  <c r="D18" i="4"/>
  <c r="D17" i="4"/>
  <c r="D15" i="4"/>
  <c r="D14" i="4"/>
  <c r="D13" i="4"/>
  <c r="D12" i="4"/>
  <c r="D11" i="4"/>
  <c r="D9" i="4"/>
  <c r="D8" i="4"/>
  <c r="D7" i="4"/>
  <c r="D5" i="4"/>
  <c r="G15" i="4"/>
  <c r="G14" i="4"/>
  <c r="G13" i="4"/>
  <c r="G12" i="4"/>
  <c r="G11" i="4"/>
  <c r="F22" i="4"/>
  <c r="F21" i="4"/>
  <c r="F18" i="4"/>
  <c r="F13" i="4"/>
  <c r="F11" i="4"/>
  <c r="F7" i="4"/>
  <c r="G5" i="5"/>
  <c r="G7" i="5"/>
  <c r="G8" i="5"/>
  <c r="G9" i="5"/>
  <c r="G17" i="5"/>
  <c r="G18" i="5"/>
  <c r="G19" i="5"/>
  <c r="G21" i="5"/>
  <c r="F22" i="5"/>
  <c r="F17" i="5"/>
  <c r="F15" i="5"/>
  <c r="F14" i="5"/>
  <c r="F13" i="5"/>
  <c r="F12" i="5"/>
  <c r="F11" i="5"/>
  <c r="F7" i="5"/>
  <c r="E22" i="5"/>
  <c r="E19" i="5"/>
  <c r="E18" i="5"/>
  <c r="E17" i="5"/>
  <c r="E15" i="5"/>
  <c r="E14" i="5"/>
  <c r="E13" i="5"/>
  <c r="E12" i="5"/>
  <c r="E11" i="5"/>
  <c r="E9" i="5"/>
  <c r="E8" i="5"/>
  <c r="E7" i="5"/>
  <c r="D22" i="5"/>
  <c r="D21" i="5"/>
  <c r="D20" i="5"/>
  <c r="D19" i="5"/>
  <c r="D18" i="5"/>
  <c r="D17" i="5"/>
  <c r="D15" i="5"/>
  <c r="D14" i="5"/>
  <c r="D13" i="5"/>
  <c r="D12" i="5"/>
  <c r="D11" i="5"/>
  <c r="D9" i="5"/>
  <c r="D8" i="5"/>
  <c r="D7" i="5"/>
  <c r="D5" i="5"/>
  <c r="C7" i="2"/>
  <c r="G22" i="5"/>
  <c r="G20" i="5"/>
  <c r="G15" i="5"/>
  <c r="G14" i="5"/>
  <c r="G13" i="5"/>
  <c r="G12" i="5"/>
  <c r="G11" i="5"/>
  <c r="E7" i="3"/>
  <c r="G17" i="3"/>
  <c r="D20" i="3"/>
  <c r="F20" i="3"/>
  <c r="F19" i="3"/>
  <c r="F18" i="3"/>
  <c r="F17" i="3"/>
  <c r="F16" i="3"/>
  <c r="C13" i="2"/>
  <c r="C21" i="2"/>
  <c r="C22" i="2"/>
  <c r="E20" i="3"/>
  <c r="D22" i="2"/>
  <c r="D20" i="2"/>
  <c r="E14" i="3"/>
  <c r="E13" i="3"/>
  <c r="E12" i="3"/>
  <c r="E11" i="3"/>
  <c r="D15" i="2"/>
  <c r="D14" i="2"/>
  <c r="D13" i="2"/>
  <c r="D12" i="2"/>
  <c r="D11" i="2"/>
  <c r="D14" i="3"/>
  <c r="D13" i="3"/>
  <c r="D12" i="3"/>
  <c r="D11" i="3"/>
  <c r="C15" i="2"/>
  <c r="C14" i="2"/>
  <c r="C12" i="2"/>
  <c r="C11" i="2"/>
  <c r="G20" i="3"/>
  <c r="E22" i="2"/>
  <c r="E15" i="2"/>
  <c r="E14" i="2"/>
  <c r="E13" i="2"/>
  <c r="E12" i="2"/>
  <c r="E11" i="2"/>
  <c r="F14" i="3"/>
  <c r="F13" i="3"/>
  <c r="F12" i="3"/>
  <c r="F11" i="3"/>
  <c r="F9" i="3"/>
  <c r="F8" i="3"/>
  <c r="F7" i="3"/>
  <c r="F5" i="3"/>
  <c r="F15" i="2"/>
  <c r="F14" i="2"/>
  <c r="F13" i="2"/>
  <c r="F12" i="2"/>
  <c r="F11" i="2"/>
  <c r="F22" i="2"/>
  <c r="G14" i="3"/>
  <c r="G12" i="3"/>
  <c r="G11" i="3"/>
  <c r="F5" i="2" l="1"/>
  <c r="E8" i="2"/>
  <c r="E17" i="2"/>
  <c r="E9" i="2"/>
  <c r="E7" i="2"/>
  <c r="E19" i="2"/>
  <c r="E5" i="2"/>
  <c r="D9" i="2"/>
  <c r="D8" i="2"/>
  <c r="D19" i="2"/>
  <c r="D18" i="2"/>
  <c r="C20" i="2"/>
  <c r="C5" i="2"/>
  <c r="C19" i="2"/>
  <c r="C17" i="2"/>
  <c r="F9" i="2"/>
  <c r="F8" i="2"/>
  <c r="F18" i="2"/>
</calcChain>
</file>

<file path=xl/sharedStrings.xml><?xml version="1.0" encoding="utf-8"?>
<sst xmlns="http://schemas.openxmlformats.org/spreadsheetml/2006/main" count="90" uniqueCount="21">
  <si>
    <t>Total income for workers</t>
  </si>
  <si>
    <t>OB Gender Gap</t>
  </si>
  <si>
    <t>Decomposition</t>
  </si>
  <si>
    <t>Endowments Contribution</t>
  </si>
  <si>
    <t>Coefficient Contribution</t>
  </si>
  <si>
    <t>Interaction</t>
  </si>
  <si>
    <t xml:space="preserve">Endowments </t>
  </si>
  <si>
    <t>Age</t>
  </si>
  <si>
    <t>Sector</t>
  </si>
  <si>
    <t>Education Level</t>
  </si>
  <si>
    <t>Coefficients</t>
  </si>
  <si>
    <t>Observations</t>
  </si>
  <si>
    <t>Hours</t>
  </si>
  <si>
    <t>Total income for workers per hour</t>
  </si>
  <si>
    <t>Guinea-Bissau</t>
  </si>
  <si>
    <t>Mauritania</t>
  </si>
  <si>
    <t>Senegal</t>
  </si>
  <si>
    <t>The Gambia</t>
  </si>
  <si>
    <t>Children</t>
  </si>
  <si>
    <t xml:space="preserve">Self employed income </t>
  </si>
  <si>
    <t>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</si>
</sst>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horizontal="center" vertical="top"/>
    </xf>
    <xf numFmtId="0" fontId="2" fillId="2" borderId="2" xfId="0" applyFont="1" applyFill="1" applyBorder="1"/>
    <xf numFmtId="0" fontId="0" fillId="2" borderId="2" xfId="0" applyFill="1" applyBorder="1" applyAlignment="1">
      <alignment horizontal="center" vertical="top"/>
    </xf>
    <xf numFmtId="2" fontId="0" fillId="2" borderId="2" xfId="1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NB\1.%20OB%20Decomposition%20in%20LN%20total%20daily%20income.csv" TargetMode="External"/><Relationship Id="rId1" Type="http://schemas.openxmlformats.org/officeDocument/2006/relationships/externalLinkPath" Target="GNB/1.%20OB%20Decomposition%20in%20LN%20total%20daily%20income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MRT\1.%20OB%20Decomposition%20in%20LN%20total%20daily%20income.csv" TargetMode="External"/><Relationship Id="rId1" Type="http://schemas.openxmlformats.org/officeDocument/2006/relationships/externalLinkPath" Target="MRT/1.%20OB%20Decomposition%20in%20LN%20total%20daily%20income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SEN\1.%20OB%20Decomposition%20in%20LN%20total%20daily%20income.csv" TargetMode="External"/><Relationship Id="rId1" Type="http://schemas.openxmlformats.org/officeDocument/2006/relationships/externalLinkPath" Target="SEN/1.%20OB%20Decomposition%20in%20LN%20total%20daily%20income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MB\1.%20OB%20Decomposition%20in%20LN%20total%20daily%20income.csv" TargetMode="External"/><Relationship Id="rId1" Type="http://schemas.openxmlformats.org/officeDocument/2006/relationships/externalLinkPath" Target="GMB/1.%20OB%20Decomposition%20in%20LN%20total%20daily%20income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NB\1.%20OB%20Decomposition%20in%20LN%20total%20income%20per%20hour.csv" TargetMode="External"/><Relationship Id="rId1" Type="http://schemas.openxmlformats.org/officeDocument/2006/relationships/externalLinkPath" Target="GNB/1.%20OB%20Decomposition%20in%20LN%20total%20income%20per%20hour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MRT\1.%20OB%20Decomposition%20in%20LN%20total%20income%20per%20hour.csv" TargetMode="External"/><Relationship Id="rId1" Type="http://schemas.openxmlformats.org/officeDocument/2006/relationships/externalLinkPath" Target="MRT/1.%20OB%20Decomposition%20in%20LN%20total%20income%20per%20hour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SEN\1.%20OB%20Decomposition%20in%20LN%20total%20income%20per%20hour.csv" TargetMode="External"/><Relationship Id="rId1" Type="http://schemas.openxmlformats.org/officeDocument/2006/relationships/externalLinkPath" Target="SEN/1.%20OB%20Decomposition%20in%20LN%20total%20income%20per%20hour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MB\1.%20OB%20Decomposition%20in%20LN%20total%20income%20per%20hour.csv" TargetMode="External"/><Relationship Id="rId1" Type="http://schemas.openxmlformats.org/officeDocument/2006/relationships/externalLinkPath" Target="GMB/1.%20OB%20Decomposition%20in%20LN%20total%20income%20per%20hour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NB\1.%20OB%20Decomposition%20in%20LN%20self%20employed%20income.csv" TargetMode="External"/><Relationship Id="rId1" Type="http://schemas.openxmlformats.org/officeDocument/2006/relationships/externalLinkPath" Target="GNB/1.%20OB%20Decomposition%20in%20LN%20self%20employed%20income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MRT\1.%20OB%20Decomposition%20in%20LN%20self%20employed%20income.csv" TargetMode="External"/><Relationship Id="rId1" Type="http://schemas.openxmlformats.org/officeDocument/2006/relationships/externalLinkPath" Target="MRT/1.%20OB%20Decomposition%20in%20LN%20self%20employed%20income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SEN\1.%20OB%20Decomposition%20in%20LN%20self%20employed%20income.csv" TargetMode="External"/><Relationship Id="rId1" Type="http://schemas.openxmlformats.org/officeDocument/2006/relationships/externalLinkPath" Target="SEN/1.%20OB%20Decomposition%20in%20LN%20self%20employed%20income.csv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MB\1.%20OB%20Decomposition%20in%20LN%20self%20employed%20income.csv" TargetMode="External"/><Relationship Id="rId1" Type="http://schemas.openxmlformats.org/officeDocument/2006/relationships/externalLinkPath" Target="GMB/1.%20OB%20Decomposition%20in%20LN%20self%20employed%20income.csv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NB\1.%20OB%20Decomposition%20in%20LN%20salaried%20income.csv" TargetMode="External"/><Relationship Id="rId1" Type="http://schemas.openxmlformats.org/officeDocument/2006/relationships/externalLinkPath" Target="GNB/1.%20OB%20Decomposition%20in%20LN%20salaried%20income.csv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MRT\1.%20OB%20Decomposition%20in%20LN%20salaried%20income.csv" TargetMode="External"/><Relationship Id="rId1" Type="http://schemas.openxmlformats.org/officeDocument/2006/relationships/externalLinkPath" Target="MRT/1.%20OB%20Decomposition%20in%20LN%20salaried%20income.csv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SEN\1.%20OB%20Decomposition%20in%20LN%20salaried%20income.csv" TargetMode="External"/><Relationship Id="rId1" Type="http://schemas.openxmlformats.org/officeDocument/2006/relationships/externalLinkPath" Target="SEN/1.%20OB%20Decomposition%20in%20LN%20salaried%20income.csv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GMB\1.%20OB%20Decomposition%20in%20LN%20salaried%20income.csv" TargetMode="External"/><Relationship Id="rId1" Type="http://schemas.openxmlformats.org/officeDocument/2006/relationships/externalLinkPath" Target="GMB/1.%20OB%20Decomposition%20in%20LN%20salaried%20incom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0.039*</v>
          </cell>
        </row>
        <row r="16">
          <cell r="C16" t="str">
            <v>-0.044***</v>
          </cell>
        </row>
        <row r="19">
          <cell r="C19" t="str">
            <v>0.085***</v>
          </cell>
        </row>
        <row r="22">
          <cell r="C22" t="str">
            <v>-0.002</v>
          </cell>
        </row>
        <row r="26">
          <cell r="C26" t="str">
            <v>-0.004*</v>
          </cell>
        </row>
        <row r="29">
          <cell r="C29" t="str">
            <v>-0.012</v>
          </cell>
        </row>
        <row r="32">
          <cell r="C32" t="str">
            <v>-0.007***</v>
          </cell>
        </row>
        <row r="35">
          <cell r="C35" t="str">
            <v>-0.006*</v>
          </cell>
        </row>
        <row r="38">
          <cell r="C38" t="str">
            <v>-0.014*</v>
          </cell>
        </row>
        <row r="42">
          <cell r="C42" t="str">
            <v>-0.003</v>
          </cell>
        </row>
        <row r="45">
          <cell r="C45" t="str">
            <v>0.011</v>
          </cell>
        </row>
        <row r="48">
          <cell r="C48" t="str">
            <v>0.031</v>
          </cell>
        </row>
        <row r="51">
          <cell r="C51" t="str">
            <v>0.073*</v>
          </cell>
        </row>
        <row r="54">
          <cell r="C54" t="str">
            <v>0.265***</v>
          </cell>
        </row>
        <row r="76">
          <cell r="C76" t="str">
            <v>18384.000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0.356***</v>
          </cell>
        </row>
        <row r="16">
          <cell r="C16" t="str">
            <v>0.039</v>
          </cell>
        </row>
        <row r="19">
          <cell r="C19" t="str">
            <v>0.344***</v>
          </cell>
        </row>
        <row r="22">
          <cell r="C22" t="str">
            <v>-0.026</v>
          </cell>
        </row>
        <row r="26">
          <cell r="C26" t="str">
            <v>-0.009**</v>
          </cell>
        </row>
        <row r="29">
          <cell r="C29" t="str">
            <v>0.026</v>
          </cell>
        </row>
        <row r="32">
          <cell r="C32" t="str">
            <v>0.005</v>
          </cell>
        </row>
        <row r="35">
          <cell r="C35" t="str">
            <v>0.004</v>
          </cell>
        </row>
        <row r="38">
          <cell r="C38" t="str">
            <v>0.013</v>
          </cell>
        </row>
        <row r="42">
          <cell r="C42" t="str">
            <v>0.258</v>
          </cell>
        </row>
        <row r="45">
          <cell r="C45" t="str">
            <v>0.028</v>
          </cell>
        </row>
        <row r="48">
          <cell r="C48" t="str">
            <v>0.002</v>
          </cell>
        </row>
        <row r="51">
          <cell r="C51" t="str">
            <v>-0.067</v>
          </cell>
        </row>
        <row r="54">
          <cell r="C54" t="str">
            <v>0.722***</v>
          </cell>
        </row>
        <row r="76">
          <cell r="C76" t="str">
            <v>5237.000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-0.137***</v>
          </cell>
        </row>
        <row r="16">
          <cell r="C16" t="str">
            <v>-0.101***</v>
          </cell>
        </row>
        <row r="19">
          <cell r="C19" t="str">
            <v>-0.129***</v>
          </cell>
        </row>
        <row r="22">
          <cell r="C22" t="str">
            <v>0.094***</v>
          </cell>
        </row>
        <row r="26">
          <cell r="C26" t="str">
            <v>-0.002</v>
          </cell>
        </row>
        <row r="29">
          <cell r="C29" t="str">
            <v>0.003</v>
          </cell>
        </row>
        <row r="32">
          <cell r="C32" t="str">
            <v>0.001***</v>
          </cell>
        </row>
        <row r="35">
          <cell r="C35" t="str">
            <v>-0.082***</v>
          </cell>
        </row>
        <row r="38">
          <cell r="C38" t="str">
            <v>-0.022**</v>
          </cell>
        </row>
        <row r="42">
          <cell r="C42" t="str">
            <v>0.223*</v>
          </cell>
        </row>
        <row r="45">
          <cell r="C45" t="str">
            <v>-0.007</v>
          </cell>
        </row>
        <row r="48">
          <cell r="C48" t="str">
            <v>-0.027</v>
          </cell>
        </row>
        <row r="51">
          <cell r="C51" t="str">
            <v>0.222***</v>
          </cell>
        </row>
        <row r="54">
          <cell r="C54" t="str">
            <v>0.017</v>
          </cell>
        </row>
        <row r="76">
          <cell r="C76" t="str">
            <v>15812.000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0.651***</v>
          </cell>
        </row>
        <row r="16">
          <cell r="C16" t="str">
            <v>0.494***</v>
          </cell>
        </row>
        <row r="19">
          <cell r="C19" t="str">
            <v>0.466***</v>
          </cell>
        </row>
        <row r="22">
          <cell r="C22" t="str">
            <v>-0.309*</v>
          </cell>
        </row>
        <row r="26">
          <cell r="C26" t="str">
            <v>-0.023***</v>
          </cell>
        </row>
        <row r="29">
          <cell r="C29" t="str">
            <v>0.038***</v>
          </cell>
        </row>
        <row r="32">
          <cell r="C32" t="str">
            <v>-0.003</v>
          </cell>
        </row>
        <row r="35">
          <cell r="C35" t="str">
            <v>0.181***</v>
          </cell>
        </row>
        <row r="38">
          <cell r="C38" t="str">
            <v>0.300*</v>
          </cell>
        </row>
        <row r="45">
          <cell r="C45" t="str">
            <v>-0.359</v>
          </cell>
        </row>
        <row r="48">
          <cell r="C48" t="str">
            <v>-0.056</v>
          </cell>
        </row>
        <row r="51">
          <cell r="C51" t="str">
            <v>-0.005</v>
          </cell>
        </row>
        <row r="54">
          <cell r="C54" t="str">
            <v>-0.214*</v>
          </cell>
        </row>
        <row r="57">
          <cell r="C57" t="str">
            <v>-0.420***</v>
          </cell>
        </row>
        <row r="85">
          <cell r="C85" t="str">
            <v>13219.000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0.031</v>
          </cell>
        </row>
        <row r="16">
          <cell r="C16" t="str">
            <v>0.013</v>
          </cell>
        </row>
        <row r="19">
          <cell r="C19" t="str">
            <v>0.005</v>
          </cell>
        </row>
        <row r="22">
          <cell r="C22" t="str">
            <v>0.014</v>
          </cell>
        </row>
        <row r="26">
          <cell r="C26" t="str">
            <v>0.000</v>
          </cell>
        </row>
        <row r="29">
          <cell r="C29" t="str">
            <v>0.008</v>
          </cell>
        </row>
        <row r="32">
          <cell r="C32" t="str">
            <v>-0.006***</v>
          </cell>
        </row>
        <row r="35">
          <cell r="C35" t="str">
            <v>-0.015***</v>
          </cell>
        </row>
        <row r="42">
          <cell r="C42" t="str">
            <v>-0.047</v>
          </cell>
        </row>
        <row r="45">
          <cell r="C45" t="str">
            <v>0.032*</v>
          </cell>
        </row>
        <row r="48">
          <cell r="C48" t="str">
            <v>-0.011</v>
          </cell>
        </row>
        <row r="54">
          <cell r="C54" t="str">
            <v>0.021</v>
          </cell>
        </row>
        <row r="76">
          <cell r="C76" t="str">
            <v>12569.000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0.078***</v>
          </cell>
        </row>
        <row r="16">
          <cell r="C16" t="str">
            <v>0.021</v>
          </cell>
        </row>
        <row r="19">
          <cell r="C19" t="str">
            <v>0.065**</v>
          </cell>
        </row>
        <row r="22">
          <cell r="C22" t="str">
            <v>-0.008</v>
          </cell>
        </row>
        <row r="26">
          <cell r="C26" t="str">
            <v>-0.005**</v>
          </cell>
        </row>
        <row r="29">
          <cell r="C29" t="str">
            <v>0.018*</v>
          </cell>
        </row>
        <row r="32">
          <cell r="C32" t="str">
            <v>0.004*</v>
          </cell>
        </row>
        <row r="35">
          <cell r="C35" t="str">
            <v>0.004</v>
          </cell>
        </row>
        <row r="39">
          <cell r="C39" t="str">
            <v>0.102</v>
          </cell>
        </row>
        <row r="42">
          <cell r="C42" t="str">
            <v>0.014</v>
          </cell>
        </row>
        <row r="45">
          <cell r="C45" t="str">
            <v>0.026</v>
          </cell>
        </row>
        <row r="48">
          <cell r="C48" t="str">
            <v>-0.349***</v>
          </cell>
        </row>
        <row r="67">
          <cell r="C67" t="str">
            <v>5212.000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-0.135***</v>
          </cell>
        </row>
        <row r="16">
          <cell r="C16" t="str">
            <v>-0.059***</v>
          </cell>
        </row>
        <row r="19">
          <cell r="C19" t="str">
            <v>-0.083**</v>
          </cell>
        </row>
        <row r="22">
          <cell r="C22" t="str">
            <v>0.008</v>
          </cell>
        </row>
        <row r="26">
          <cell r="C26" t="str">
            <v>0.018**</v>
          </cell>
        </row>
        <row r="29">
          <cell r="C29" t="str">
            <v>0.006</v>
          </cell>
        </row>
        <row r="32">
          <cell r="C32" t="str">
            <v>0.009***</v>
          </cell>
        </row>
        <row r="35">
          <cell r="C35" t="str">
            <v>-0.103***</v>
          </cell>
        </row>
        <row r="42">
          <cell r="C42" t="str">
            <v>0.496***</v>
          </cell>
        </row>
        <row r="45">
          <cell r="C45" t="str">
            <v>0.008</v>
          </cell>
        </row>
        <row r="48">
          <cell r="C48" t="str">
            <v>-0.056</v>
          </cell>
        </row>
        <row r="54">
          <cell r="C54" t="str">
            <v>0.184**</v>
          </cell>
        </row>
        <row r="76">
          <cell r="C76" t="str">
            <v>11310.000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total"/>
    </sheetNames>
    <sheetDataSet>
      <sheetData sheetId="0">
        <row r="13">
          <cell r="C13" t="str">
            <v>0.372***</v>
          </cell>
        </row>
        <row r="16">
          <cell r="C16" t="str">
            <v>0.241*</v>
          </cell>
        </row>
        <row r="19">
          <cell r="C19" t="str">
            <v>0.263***</v>
          </cell>
        </row>
        <row r="22">
          <cell r="C22" t="str">
            <v>-0.132</v>
          </cell>
        </row>
        <row r="26">
          <cell r="C26" t="str">
            <v>-0.017***</v>
          </cell>
        </row>
        <row r="29">
          <cell r="C29" t="str">
            <v>0.032***</v>
          </cell>
        </row>
        <row r="32">
          <cell r="C32" t="str">
            <v>-0.004</v>
          </cell>
        </row>
        <row r="35">
          <cell r="C35" t="str">
            <v>0.231*</v>
          </cell>
        </row>
        <row r="42">
          <cell r="C42" t="str">
            <v>-0.530</v>
          </cell>
        </row>
        <row r="45">
          <cell r="C45" t="str">
            <v>0.001</v>
          </cell>
        </row>
        <row r="48">
          <cell r="C48" t="str">
            <v>0.004</v>
          </cell>
        </row>
        <row r="51">
          <cell r="C51" t="str">
            <v>-0.453***</v>
          </cell>
        </row>
        <row r="76">
          <cell r="C76" t="str">
            <v>13255.000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elf "/>
    </sheetNames>
    <sheetDataSet>
      <sheetData sheetId="0">
        <row r="13">
          <cell r="C13" t="str">
            <v>0.011</v>
          </cell>
        </row>
        <row r="16">
          <cell r="C16" t="str">
            <v>0.014</v>
          </cell>
        </row>
        <row r="19">
          <cell r="C19" t="str">
            <v>-0.008</v>
          </cell>
        </row>
        <row r="22">
          <cell r="C22" t="str">
            <v>0.005</v>
          </cell>
        </row>
        <row r="26">
          <cell r="C26" t="str">
            <v>0.001</v>
          </cell>
        </row>
        <row r="29">
          <cell r="C29" t="str">
            <v>0.009</v>
          </cell>
        </row>
        <row r="32">
          <cell r="C32" t="str">
            <v>-0.006***</v>
          </cell>
        </row>
        <row r="35">
          <cell r="C35" t="str">
            <v>-0.015***</v>
          </cell>
        </row>
        <row r="38">
          <cell r="C38" t="str">
            <v>0.025***</v>
          </cell>
        </row>
        <row r="42">
          <cell r="C42" t="str">
            <v>-0.065</v>
          </cell>
        </row>
        <row r="45">
          <cell r="C45" t="str">
            <v>0.026*</v>
          </cell>
        </row>
        <row r="48">
          <cell r="C48" t="str">
            <v>-0.004</v>
          </cell>
        </row>
        <row r="51">
          <cell r="C51" t="str">
            <v>-0.012</v>
          </cell>
        </row>
        <row r="54">
          <cell r="C54" t="str">
            <v>0.364*</v>
          </cell>
        </row>
        <row r="76">
          <cell r="C76" t="str">
            <v>12454.000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elf "/>
    </sheetNames>
    <sheetDataSet>
      <sheetData sheetId="0">
        <row r="13">
          <cell r="C13" t="str">
            <v>0.449***</v>
          </cell>
        </row>
        <row r="16">
          <cell r="C16" t="str">
            <v>-0.020</v>
          </cell>
        </row>
        <row r="19">
          <cell r="C19" t="str">
            <v>0.447***</v>
          </cell>
        </row>
        <row r="22">
          <cell r="C22" t="str">
            <v>0.022</v>
          </cell>
        </row>
        <row r="26">
          <cell r="C26" t="str">
            <v>-0.006</v>
          </cell>
        </row>
        <row r="29">
          <cell r="C29" t="str">
            <v>-0.012</v>
          </cell>
        </row>
        <row r="32">
          <cell r="C32" t="str">
            <v>0.003</v>
          </cell>
        </row>
        <row r="35">
          <cell r="C35" t="str">
            <v>0.007</v>
          </cell>
        </row>
        <row r="38">
          <cell r="C38" t="str">
            <v>-0.012</v>
          </cell>
        </row>
        <row r="42">
          <cell r="C42" t="str">
            <v>0.407</v>
          </cell>
        </row>
        <row r="45">
          <cell r="C45" t="str">
            <v>-0.002</v>
          </cell>
        </row>
        <row r="48">
          <cell r="C48" t="str">
            <v>-0.048</v>
          </cell>
        </row>
        <row r="51">
          <cell r="C51" t="str">
            <v>-0.081</v>
          </cell>
        </row>
        <row r="54">
          <cell r="C54" t="str">
            <v>0.353***</v>
          </cell>
        </row>
        <row r="76">
          <cell r="C76" t="str">
            <v>2575.000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elf "/>
    </sheetNames>
    <sheetDataSet>
      <sheetData sheetId="0">
        <row r="13">
          <cell r="C13" t="str">
            <v>-0.158***</v>
          </cell>
        </row>
        <row r="16">
          <cell r="C16" t="str">
            <v>-0.065***</v>
          </cell>
        </row>
        <row r="19">
          <cell r="C19" t="str">
            <v>-0.092**</v>
          </cell>
        </row>
        <row r="22">
          <cell r="C22" t="str">
            <v>-0.001</v>
          </cell>
        </row>
        <row r="26">
          <cell r="C26" t="str">
            <v>0.018**</v>
          </cell>
        </row>
        <row r="29">
          <cell r="C29" t="str">
            <v>0.006</v>
          </cell>
        </row>
        <row r="32">
          <cell r="C32" t="str">
            <v>0.009***</v>
          </cell>
        </row>
        <row r="35">
          <cell r="C35" t="str">
            <v>-0.102***</v>
          </cell>
        </row>
        <row r="38">
          <cell r="C38" t="str">
            <v>0.003</v>
          </cell>
        </row>
        <row r="42">
          <cell r="C42" t="str">
            <v>0.456***</v>
          </cell>
        </row>
        <row r="45">
          <cell r="C45" t="str">
            <v>0.008</v>
          </cell>
        </row>
        <row r="48">
          <cell r="C48" t="str">
            <v>-0.055</v>
          </cell>
        </row>
        <row r="51">
          <cell r="C51" t="str">
            <v>0.149***</v>
          </cell>
        </row>
        <row r="54">
          <cell r="C54" t="str">
            <v>-0.332***</v>
          </cell>
        </row>
        <row r="76">
          <cell r="C76" t="str">
            <v>11198.000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elf "/>
    </sheetNames>
    <sheetDataSet>
      <sheetData sheetId="0">
        <row r="13">
          <cell r="C13" t="str">
            <v>0.719***</v>
          </cell>
        </row>
        <row r="16">
          <cell r="C16" t="str">
            <v>0.507***</v>
          </cell>
        </row>
        <row r="19">
          <cell r="C19" t="str">
            <v>0.531***</v>
          </cell>
        </row>
        <row r="22">
          <cell r="C22" t="str">
            <v>-0.318***</v>
          </cell>
        </row>
        <row r="26">
          <cell r="C26" t="str">
            <v>0.005</v>
          </cell>
        </row>
        <row r="29">
          <cell r="C29" t="str">
            <v>0.016*</v>
          </cell>
        </row>
        <row r="32">
          <cell r="C32" t="str">
            <v>-0.018**</v>
          </cell>
        </row>
        <row r="35">
          <cell r="C35" t="str">
            <v>0.200***</v>
          </cell>
        </row>
        <row r="38">
          <cell r="C38" t="str">
            <v>0.304***</v>
          </cell>
        </row>
        <row r="45">
          <cell r="C45" t="str">
            <v>-1.135*</v>
          </cell>
        </row>
        <row r="48">
          <cell r="C48" t="str">
            <v>-0.014</v>
          </cell>
        </row>
        <row r="51">
          <cell r="C51" t="str">
            <v>-0.006</v>
          </cell>
        </row>
        <row r="54">
          <cell r="C54" t="str">
            <v>-0.012</v>
          </cell>
        </row>
        <row r="57">
          <cell r="C57" t="str">
            <v>-0.397***</v>
          </cell>
        </row>
        <row r="85">
          <cell r="C85" t="str">
            <v>9382.000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alar"/>
    </sheetNames>
    <sheetDataSet>
      <sheetData sheetId="0">
        <row r="13">
          <cell r="C13" t="str">
            <v>-0.001</v>
          </cell>
        </row>
        <row r="16">
          <cell r="C16" t="str">
            <v>-0.050***</v>
          </cell>
        </row>
        <row r="19">
          <cell r="C19" t="str">
            <v>0.040</v>
          </cell>
        </row>
        <row r="22">
          <cell r="C22" t="str">
            <v>0.009</v>
          </cell>
        </row>
        <row r="26">
          <cell r="C26" t="str">
            <v>-0.001</v>
          </cell>
        </row>
        <row r="29">
          <cell r="C29" t="str">
            <v>0.000</v>
          </cell>
        </row>
        <row r="32">
          <cell r="C32" t="str">
            <v>-0.003</v>
          </cell>
        </row>
        <row r="35">
          <cell r="C35" t="str">
            <v>-0.041***</v>
          </cell>
        </row>
        <row r="38">
          <cell r="C38" t="str">
            <v>-0.005</v>
          </cell>
        </row>
        <row r="42">
          <cell r="C42" t="str">
            <v>-0.147</v>
          </cell>
        </row>
        <row r="45">
          <cell r="C45" t="str">
            <v>-0.110*</v>
          </cell>
        </row>
        <row r="48">
          <cell r="C48" t="str">
            <v>0.018</v>
          </cell>
        </row>
        <row r="51">
          <cell r="C51" t="str">
            <v>0.182**</v>
          </cell>
        </row>
        <row r="54">
          <cell r="C54" t="str">
            <v>-0.014</v>
          </cell>
        </row>
        <row r="76">
          <cell r="C76" t="str">
            <v>1941.000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alar"/>
    </sheetNames>
    <sheetDataSet>
      <sheetData sheetId="0">
        <row r="13">
          <cell r="C13" t="str">
            <v>0.017</v>
          </cell>
        </row>
        <row r="16">
          <cell r="C16" t="str">
            <v>-0.032</v>
          </cell>
        </row>
        <row r="19">
          <cell r="C19" t="str">
            <v>0.083</v>
          </cell>
        </row>
        <row r="22">
          <cell r="C22" t="str">
            <v>-0.034</v>
          </cell>
        </row>
        <row r="26">
          <cell r="C26" t="str">
            <v>0.064*</v>
          </cell>
        </row>
        <row r="29">
          <cell r="C29" t="str">
            <v>0.006</v>
          </cell>
        </row>
        <row r="32">
          <cell r="C32" t="str">
            <v>0.008</v>
          </cell>
        </row>
        <row r="35">
          <cell r="C35" t="str">
            <v>0.003</v>
          </cell>
        </row>
        <row r="38">
          <cell r="C38" t="str">
            <v>-0.114**</v>
          </cell>
        </row>
        <row r="42">
          <cell r="C42" t="str">
            <v>-0.135</v>
          </cell>
        </row>
        <row r="45">
          <cell r="C45" t="str">
            <v>0.032</v>
          </cell>
        </row>
        <row r="48">
          <cell r="C48" t="str">
            <v>0.052</v>
          </cell>
        </row>
        <row r="51">
          <cell r="C51" t="str">
            <v>-0.063</v>
          </cell>
        </row>
        <row r="54">
          <cell r="C54" t="str">
            <v>-0.214</v>
          </cell>
        </row>
        <row r="76">
          <cell r="C76" t="str">
            <v>2662.000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alar"/>
    </sheetNames>
    <sheetDataSet>
      <sheetData sheetId="0">
        <row r="13">
          <cell r="C13" t="str">
            <v>0.185***</v>
          </cell>
        </row>
        <row r="16">
          <cell r="C16" t="str">
            <v>-0.052***</v>
          </cell>
        </row>
        <row r="19">
          <cell r="C19" t="str">
            <v>0.215***</v>
          </cell>
        </row>
        <row r="22">
          <cell r="C22" t="str">
            <v>0.021</v>
          </cell>
        </row>
        <row r="26">
          <cell r="C26" t="str">
            <v>0.029***</v>
          </cell>
        </row>
        <row r="29">
          <cell r="C29" t="str">
            <v>-0.022***</v>
          </cell>
        </row>
        <row r="32">
          <cell r="C32" t="str">
            <v>-0.001</v>
          </cell>
        </row>
        <row r="35">
          <cell r="C35" t="str">
            <v>-0.031***</v>
          </cell>
        </row>
        <row r="38">
          <cell r="C38" t="str">
            <v>-0.027***</v>
          </cell>
        </row>
        <row r="42">
          <cell r="C42" t="str">
            <v>0.160</v>
          </cell>
        </row>
        <row r="45">
          <cell r="C45" t="str">
            <v>-0.057</v>
          </cell>
        </row>
        <row r="48">
          <cell r="C48" t="str">
            <v>0.021</v>
          </cell>
        </row>
        <row r="51">
          <cell r="C51" t="str">
            <v>-0.008</v>
          </cell>
        </row>
        <row r="54">
          <cell r="C54" t="str">
            <v>-0.086</v>
          </cell>
        </row>
        <row r="76">
          <cell r="C76" t="str">
            <v>3765.000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OB Decomposition in LN salar"/>
    </sheetNames>
    <sheetDataSet>
      <sheetData sheetId="0">
        <row r="13">
          <cell r="C13" t="str">
            <v>-0.120</v>
          </cell>
        </row>
        <row r="16">
          <cell r="C16" t="str">
            <v>-0.107</v>
          </cell>
        </row>
        <row r="19">
          <cell r="C19" t="str">
            <v>-0.020</v>
          </cell>
        </row>
        <row r="22">
          <cell r="C22" t="str">
            <v>0.008</v>
          </cell>
        </row>
        <row r="26">
          <cell r="C26" t="str">
            <v>-0.074**</v>
          </cell>
        </row>
        <row r="29">
          <cell r="C29" t="str">
            <v>-0.106***</v>
          </cell>
        </row>
        <row r="32">
          <cell r="C32" t="str">
            <v>-0.011**</v>
          </cell>
        </row>
        <row r="35">
          <cell r="C35" t="str">
            <v>0.093*</v>
          </cell>
        </row>
        <row r="38">
          <cell r="C38" t="str">
            <v>-0.009</v>
          </cell>
        </row>
        <row r="45">
          <cell r="C45" t="str">
            <v>-0.252</v>
          </cell>
        </row>
        <row r="48">
          <cell r="C48" t="str">
            <v>-0.234</v>
          </cell>
        </row>
        <row r="51">
          <cell r="C51" t="str">
            <v>0.216*</v>
          </cell>
        </row>
        <row r="54">
          <cell r="C54" t="str">
            <v>-0.340</v>
          </cell>
        </row>
        <row r="57">
          <cell r="C57" t="str">
            <v>-0.195</v>
          </cell>
        </row>
        <row r="85">
          <cell r="C85" t="str">
            <v>3834.000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F409-16AB-4A82-80A9-F94922E7F710}">
  <dimension ref="A2:G24"/>
  <sheetViews>
    <sheetView workbookViewId="0">
      <selection activeCell="U12" sqref="U12"/>
    </sheetView>
  </sheetViews>
  <sheetFormatPr defaultRowHeight="14.4" x14ac:dyDescent="0.3"/>
  <cols>
    <col min="2" max="2" width="21.5546875" customWidth="1"/>
    <col min="3" max="6" width="13.5546875" customWidth="1"/>
    <col min="9" max="9" width="21.77734375" customWidth="1"/>
    <col min="10" max="13" width="13.21875" customWidth="1"/>
  </cols>
  <sheetData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2"/>
      <c r="C3" s="10" t="s">
        <v>0</v>
      </c>
      <c r="D3" s="10"/>
      <c r="E3" s="10"/>
      <c r="F3" s="10"/>
      <c r="G3" s="1"/>
    </row>
    <row r="4" spans="1:7" x14ac:dyDescent="0.3">
      <c r="A4" s="1"/>
      <c r="B4" s="3"/>
      <c r="C4" s="5" t="s">
        <v>14</v>
      </c>
      <c r="D4" s="5" t="s">
        <v>15</v>
      </c>
      <c r="E4" s="5" t="s">
        <v>16</v>
      </c>
      <c r="F4" s="5" t="s">
        <v>17</v>
      </c>
      <c r="G4" s="1"/>
    </row>
    <row r="5" spans="1:7" x14ac:dyDescent="0.3">
      <c r="A5" s="1"/>
      <c r="B5" s="1" t="s">
        <v>1</v>
      </c>
      <c r="C5" s="4" t="str">
        <f>'[1]1. OB Decomposition in LN total'!$C$13</f>
        <v>0.039*</v>
      </c>
      <c r="D5" s="4" t="str">
        <f>'[2]1. OB Decomposition in LN total'!$C$13</f>
        <v>0.356***</v>
      </c>
      <c r="E5" s="4" t="str">
        <f>'[3]1. OB Decomposition in LN total'!$C$13</f>
        <v>-0.137***</v>
      </c>
      <c r="F5" s="4" t="str">
        <f>'[4]1. OB Decomposition in LN total'!$C$13</f>
        <v>0.651***</v>
      </c>
      <c r="G5" s="1"/>
    </row>
    <row r="6" spans="1:7" x14ac:dyDescent="0.3">
      <c r="A6" s="1"/>
      <c r="B6" s="1" t="s">
        <v>2</v>
      </c>
      <c r="C6" s="4"/>
      <c r="D6" s="4"/>
      <c r="E6" s="4"/>
      <c r="F6" s="4"/>
      <c r="G6" s="1"/>
    </row>
    <row r="7" spans="1:7" x14ac:dyDescent="0.3">
      <c r="A7" s="1"/>
      <c r="B7" s="1" t="s">
        <v>3</v>
      </c>
      <c r="C7" s="4" t="str">
        <f>'[1]1. OB Decomposition in LN total'!$C$16</f>
        <v>-0.044***</v>
      </c>
      <c r="D7" s="4" t="str">
        <f>'[2]1. OB Decomposition in LN total'!$C$16</f>
        <v>0.039</v>
      </c>
      <c r="E7" s="4" t="str">
        <f>'[3]1. OB Decomposition in LN total'!$C$16</f>
        <v>-0.101***</v>
      </c>
      <c r="F7" s="4" t="str">
        <f>'[4]1. OB Decomposition in LN total'!$C$16</f>
        <v>0.494***</v>
      </c>
      <c r="G7" s="1"/>
    </row>
    <row r="8" spans="1:7" x14ac:dyDescent="0.3">
      <c r="A8" s="1"/>
      <c r="B8" s="1" t="s">
        <v>4</v>
      </c>
      <c r="C8" s="4" t="str">
        <f>'[1]1. OB Decomposition in LN total'!$C$19</f>
        <v>0.085***</v>
      </c>
      <c r="D8" s="4" t="str">
        <f>'[2]1. OB Decomposition in LN total'!$C$19</f>
        <v>0.344***</v>
      </c>
      <c r="E8" s="4" t="str">
        <f>'[3]1. OB Decomposition in LN total'!$C$19</f>
        <v>-0.129***</v>
      </c>
      <c r="F8" s="4" t="str">
        <f>'[4]1. OB Decomposition in LN total'!$C$19</f>
        <v>0.466***</v>
      </c>
      <c r="G8" s="1"/>
    </row>
    <row r="9" spans="1:7" x14ac:dyDescent="0.3">
      <c r="A9" s="1"/>
      <c r="B9" s="3" t="s">
        <v>5</v>
      </c>
      <c r="C9" s="6" t="str">
        <f>'[1]1. OB Decomposition in LN total'!$C$22</f>
        <v>-0.002</v>
      </c>
      <c r="D9" s="6" t="str">
        <f>'[2]1. OB Decomposition in LN total'!$C$22</f>
        <v>-0.026</v>
      </c>
      <c r="E9" s="6" t="str">
        <f>'[3]1. OB Decomposition in LN total'!$C$22</f>
        <v>0.094***</v>
      </c>
      <c r="F9" s="6" t="str">
        <f>'[4]1. OB Decomposition in LN total'!$C$22</f>
        <v>-0.309*</v>
      </c>
      <c r="G9" s="1"/>
    </row>
    <row r="10" spans="1:7" x14ac:dyDescent="0.3">
      <c r="A10" s="1"/>
      <c r="B10" s="3" t="s">
        <v>6</v>
      </c>
      <c r="C10" s="6"/>
      <c r="D10" s="6"/>
      <c r="E10" s="6"/>
      <c r="F10" s="6"/>
      <c r="G10" s="1"/>
    </row>
    <row r="11" spans="1:7" x14ac:dyDescent="0.3">
      <c r="A11" s="1"/>
      <c r="B11" s="1" t="s">
        <v>7</v>
      </c>
      <c r="C11" s="4" t="str">
        <f>'[1]1. OB Decomposition in LN total'!$C$26</f>
        <v>-0.004*</v>
      </c>
      <c r="D11" s="4" t="str">
        <f>'[2]1. OB Decomposition in LN total'!$C$26</f>
        <v>-0.009**</v>
      </c>
      <c r="E11" s="4" t="str">
        <f>'[3]1. OB Decomposition in LN total'!$C$26</f>
        <v>-0.002</v>
      </c>
      <c r="F11" s="4" t="str">
        <f>'[4]1. OB Decomposition in LN total'!$C$26</f>
        <v>-0.023***</v>
      </c>
      <c r="G11" s="1"/>
    </row>
    <row r="12" spans="1:7" x14ac:dyDescent="0.3">
      <c r="A12" s="1"/>
      <c r="B12" s="1" t="s">
        <v>9</v>
      </c>
      <c r="C12" s="4" t="str">
        <f>'[1]1. OB Decomposition in LN total'!$C$29</f>
        <v>-0.012</v>
      </c>
      <c r="D12" s="4" t="str">
        <f>'[2]1. OB Decomposition in LN total'!$C$29</f>
        <v>0.026</v>
      </c>
      <c r="E12" s="4" t="str">
        <f>'[3]1. OB Decomposition in LN total'!$C$29</f>
        <v>0.003</v>
      </c>
      <c r="F12" s="4" t="str">
        <f>'[4]1. OB Decomposition in LN total'!$C$29</f>
        <v>0.038***</v>
      </c>
      <c r="G12" s="1"/>
    </row>
    <row r="13" spans="1:7" x14ac:dyDescent="0.3">
      <c r="A13" s="1"/>
      <c r="B13" s="1" t="s">
        <v>18</v>
      </c>
      <c r="C13" s="4" t="str">
        <f>'[1]1. OB Decomposition in LN total'!$C$32</f>
        <v>-0.007***</v>
      </c>
      <c r="D13" s="4" t="str">
        <f>'[2]1. OB Decomposition in LN total'!$C$32</f>
        <v>0.005</v>
      </c>
      <c r="E13" s="4" t="str">
        <f>'[3]1. OB Decomposition in LN total'!$C$32</f>
        <v>0.001***</v>
      </c>
      <c r="F13" s="4" t="str">
        <f>'[4]1. OB Decomposition in LN total'!$C$32</f>
        <v>-0.003</v>
      </c>
      <c r="G13" s="1"/>
    </row>
    <row r="14" spans="1:7" x14ac:dyDescent="0.3">
      <c r="A14" s="1"/>
      <c r="B14" s="1" t="s">
        <v>12</v>
      </c>
      <c r="C14" s="4" t="str">
        <f>'[1]1. OB Decomposition in LN total'!$C$35</f>
        <v>-0.006*</v>
      </c>
      <c r="D14" s="4" t="str">
        <f>'[2]1. OB Decomposition in LN total'!$C$35</f>
        <v>0.004</v>
      </c>
      <c r="E14" s="4" t="str">
        <f>'[3]1. OB Decomposition in LN total'!$C$35</f>
        <v>-0.082***</v>
      </c>
      <c r="F14" s="4" t="str">
        <f>'[4]1. OB Decomposition in LN total'!$C$35</f>
        <v>0.181***</v>
      </c>
      <c r="G14" s="1"/>
    </row>
    <row r="15" spans="1:7" x14ac:dyDescent="0.3">
      <c r="A15" s="1"/>
      <c r="B15" s="3" t="s">
        <v>8</v>
      </c>
      <c r="C15" s="6" t="str">
        <f>'[1]1. OB Decomposition in LN total'!$C$38</f>
        <v>-0.014*</v>
      </c>
      <c r="D15" s="6" t="str">
        <f>'[2]1. OB Decomposition in LN total'!$C$38</f>
        <v>0.013</v>
      </c>
      <c r="E15" s="6" t="str">
        <f>'[3]1. OB Decomposition in LN total'!$C$38</f>
        <v>-0.022**</v>
      </c>
      <c r="F15" s="6" t="str">
        <f>'[4]1. OB Decomposition in LN total'!$C$38</f>
        <v>0.300*</v>
      </c>
      <c r="G15" s="1"/>
    </row>
    <row r="16" spans="1:7" x14ac:dyDescent="0.3">
      <c r="A16" s="1"/>
      <c r="B16" s="3" t="s">
        <v>10</v>
      </c>
      <c r="C16" s="6"/>
      <c r="D16" s="6"/>
      <c r="E16" s="6"/>
      <c r="F16" s="6"/>
      <c r="G16" s="1"/>
    </row>
    <row r="17" spans="1:7" x14ac:dyDescent="0.3">
      <c r="A17" s="1"/>
      <c r="B17" s="1" t="s">
        <v>7</v>
      </c>
      <c r="C17" s="4" t="str">
        <f>'[1]1. OB Decomposition in LN total'!$C$42</f>
        <v>-0.003</v>
      </c>
      <c r="D17" s="4" t="str">
        <f>'[2]1. OB Decomposition in LN total'!$C$42</f>
        <v>0.258</v>
      </c>
      <c r="E17" s="4" t="str">
        <f>'[3]1. OB Decomposition in LN total'!$C$42</f>
        <v>0.223*</v>
      </c>
      <c r="F17" s="4" t="str">
        <f>'[4]1. OB Decomposition in LN total'!$C$45</f>
        <v>-0.359</v>
      </c>
      <c r="G17" s="1"/>
    </row>
    <row r="18" spans="1:7" x14ac:dyDescent="0.3">
      <c r="A18" s="1"/>
      <c r="B18" s="1" t="s">
        <v>9</v>
      </c>
      <c r="C18" s="4" t="str">
        <f>'[1]1. OB Decomposition in LN total'!$C$45</f>
        <v>0.011</v>
      </c>
      <c r="D18" s="4" t="str">
        <f>'[2]1. OB Decomposition in LN total'!$C$45</f>
        <v>0.028</v>
      </c>
      <c r="E18" s="4" t="str">
        <f>'[3]1. OB Decomposition in LN total'!$C$45</f>
        <v>-0.007</v>
      </c>
      <c r="F18" s="4" t="str">
        <f>'[4]1. OB Decomposition in LN total'!$C$48</f>
        <v>-0.056</v>
      </c>
      <c r="G18" s="1"/>
    </row>
    <row r="19" spans="1:7" x14ac:dyDescent="0.3">
      <c r="A19" s="1"/>
      <c r="B19" s="1" t="s">
        <v>18</v>
      </c>
      <c r="C19" s="4" t="str">
        <f>'[1]1. OB Decomposition in LN total'!$C$48</f>
        <v>0.031</v>
      </c>
      <c r="D19" s="4" t="str">
        <f>'[2]1. OB Decomposition in LN total'!$C$48</f>
        <v>0.002</v>
      </c>
      <c r="E19" s="4" t="str">
        <f>'[3]1. OB Decomposition in LN total'!$C$48</f>
        <v>-0.027</v>
      </c>
      <c r="F19" s="4" t="str">
        <f>'[4]1. OB Decomposition in LN total'!$C$51</f>
        <v>-0.005</v>
      </c>
      <c r="G19" s="1"/>
    </row>
    <row r="20" spans="1:7" x14ac:dyDescent="0.3">
      <c r="A20" s="1"/>
      <c r="B20" s="1" t="s">
        <v>12</v>
      </c>
      <c r="C20" s="4" t="str">
        <f>'[1]1. OB Decomposition in LN total'!$C$51</f>
        <v>0.073*</v>
      </c>
      <c r="D20" s="4" t="str">
        <f>'[2]1. OB Decomposition in LN total'!$C$51</f>
        <v>-0.067</v>
      </c>
      <c r="E20" s="4" t="str">
        <f>'[3]1. OB Decomposition in LN total'!$C$51</f>
        <v>0.222***</v>
      </c>
      <c r="F20" s="4" t="str">
        <f>'[4]1. OB Decomposition in LN total'!$C$54</f>
        <v>-0.214*</v>
      </c>
      <c r="G20" s="1"/>
    </row>
    <row r="21" spans="1:7" x14ac:dyDescent="0.3">
      <c r="A21" s="1"/>
      <c r="B21" s="3" t="s">
        <v>8</v>
      </c>
      <c r="C21" s="6" t="str">
        <f>'[1]1. OB Decomposition in LN total'!$C$54</f>
        <v>0.265***</v>
      </c>
      <c r="D21" s="6" t="str">
        <f>'[2]1. OB Decomposition in LN total'!$C$54</f>
        <v>0.722***</v>
      </c>
      <c r="E21" s="6" t="str">
        <f>'[3]1. OB Decomposition in LN total'!$C$54</f>
        <v>0.017</v>
      </c>
      <c r="F21" s="6" t="str">
        <f>'[4]1. OB Decomposition in LN total'!$C$57</f>
        <v>-0.420***</v>
      </c>
      <c r="G21" s="1"/>
    </row>
    <row r="22" spans="1:7" x14ac:dyDescent="0.3">
      <c r="A22" s="1"/>
      <c r="B22" s="3" t="s">
        <v>11</v>
      </c>
      <c r="C22" s="7" t="str">
        <f>'[1]1. OB Decomposition in LN total'!$C$76</f>
        <v>18384.000</v>
      </c>
      <c r="D22" s="7" t="str">
        <f>'[2]1. OB Decomposition in LN total'!$C$76</f>
        <v>5237.000</v>
      </c>
      <c r="E22" s="7" t="str">
        <f>'[3]1. OB Decomposition in LN total'!$C$76</f>
        <v>15812.000</v>
      </c>
      <c r="F22" s="7" t="str">
        <f>'[4]1. OB Decomposition in LN total'!$C$85</f>
        <v>13219.000</v>
      </c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</sheetData>
  <mergeCells count="1">
    <mergeCell ref="C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E2C0-FC29-40AC-8F81-A0D9F390CB9E}">
  <dimension ref="B2:I22"/>
  <sheetViews>
    <sheetView workbookViewId="0">
      <selection activeCell="G28" sqref="G28"/>
    </sheetView>
  </sheetViews>
  <sheetFormatPr defaultRowHeight="14.4" x14ac:dyDescent="0.3"/>
  <cols>
    <col min="3" max="3" width="21.88671875" bestFit="1" customWidth="1"/>
    <col min="4" max="7" width="13.33203125" customWidth="1"/>
  </cols>
  <sheetData>
    <row r="2" spans="2:9" x14ac:dyDescent="0.3">
      <c r="B2" s="1"/>
      <c r="C2" s="1"/>
      <c r="D2" s="1"/>
      <c r="E2" s="1"/>
      <c r="F2" s="1"/>
      <c r="G2" s="1"/>
      <c r="H2" s="1"/>
      <c r="I2" s="1"/>
    </row>
    <row r="3" spans="2:9" x14ac:dyDescent="0.3">
      <c r="B3" s="1"/>
      <c r="C3" s="2"/>
      <c r="D3" s="10" t="s">
        <v>13</v>
      </c>
      <c r="E3" s="10"/>
      <c r="F3" s="10"/>
      <c r="G3" s="10"/>
      <c r="H3" s="1"/>
      <c r="I3" s="1"/>
    </row>
    <row r="4" spans="2:9" x14ac:dyDescent="0.3">
      <c r="B4" s="1"/>
      <c r="C4" s="3"/>
      <c r="D4" s="9" t="s">
        <v>14</v>
      </c>
      <c r="E4" s="9" t="s">
        <v>15</v>
      </c>
      <c r="F4" s="9" t="s">
        <v>16</v>
      </c>
      <c r="G4" s="9" t="s">
        <v>17</v>
      </c>
      <c r="H4" s="1"/>
      <c r="I4" s="1"/>
    </row>
    <row r="5" spans="2:9" x14ac:dyDescent="0.3">
      <c r="B5" s="1"/>
      <c r="C5" s="1" t="s">
        <v>1</v>
      </c>
      <c r="D5" s="4" t="str">
        <f>'[5]1. OB Decomposition in LN total'!$C$13</f>
        <v>0.031</v>
      </c>
      <c r="E5" s="4" t="str">
        <f>'[6]1. OB Decomposition in LN total'!$C$13</f>
        <v>0.078***</v>
      </c>
      <c r="F5" s="4" t="str">
        <f>'[7]1. OB Decomposition in LN total'!$C$13</f>
        <v>-0.135***</v>
      </c>
      <c r="G5" s="4" t="str">
        <f>'[8]1. OB Decomposition in LN total'!$C$13</f>
        <v>0.372***</v>
      </c>
      <c r="H5" s="1"/>
      <c r="I5" s="1"/>
    </row>
    <row r="6" spans="2:9" x14ac:dyDescent="0.3">
      <c r="B6" s="1"/>
      <c r="C6" s="3" t="s">
        <v>2</v>
      </c>
      <c r="D6" s="6"/>
      <c r="E6" s="6"/>
      <c r="F6" s="6"/>
      <c r="G6" s="6"/>
      <c r="H6" s="1"/>
      <c r="I6" s="1"/>
    </row>
    <row r="7" spans="2:9" x14ac:dyDescent="0.3">
      <c r="B7" s="1"/>
      <c r="C7" s="1" t="s">
        <v>3</v>
      </c>
      <c r="D7" s="4" t="str">
        <f>'[5]1. OB Decomposition in LN total'!$C$16</f>
        <v>0.013</v>
      </c>
      <c r="E7" s="4" t="str">
        <f>'[6]1. OB Decomposition in LN total'!$C$16</f>
        <v>0.021</v>
      </c>
      <c r="F7" s="4" t="str">
        <f>'[7]1. OB Decomposition in LN total'!$C$16</f>
        <v>-0.059***</v>
      </c>
      <c r="G7" s="4" t="str">
        <f>'[8]1. OB Decomposition in LN total'!$C$16</f>
        <v>0.241*</v>
      </c>
      <c r="H7" s="1"/>
      <c r="I7" s="1"/>
    </row>
    <row r="8" spans="2:9" x14ac:dyDescent="0.3">
      <c r="B8" s="1"/>
      <c r="C8" s="1" t="s">
        <v>4</v>
      </c>
      <c r="D8" s="4" t="str">
        <f>'[5]1. OB Decomposition in LN total'!$C$19</f>
        <v>0.005</v>
      </c>
      <c r="E8" s="4" t="str">
        <f>'[6]1. OB Decomposition in LN total'!$C$19</f>
        <v>0.065**</v>
      </c>
      <c r="F8" s="4" t="str">
        <f>'[7]1. OB Decomposition in LN total'!$C$19</f>
        <v>-0.083**</v>
      </c>
      <c r="G8" s="4" t="str">
        <f>'[8]1. OB Decomposition in LN total'!$C$19</f>
        <v>0.263***</v>
      </c>
      <c r="H8" s="1"/>
      <c r="I8" s="1"/>
    </row>
    <row r="9" spans="2:9" x14ac:dyDescent="0.3">
      <c r="B9" s="1"/>
      <c r="C9" s="3" t="s">
        <v>5</v>
      </c>
      <c r="D9" s="6" t="str">
        <f>'[5]1. OB Decomposition in LN total'!$C$22</f>
        <v>0.014</v>
      </c>
      <c r="E9" s="6" t="str">
        <f>'[6]1. OB Decomposition in LN total'!$C$22</f>
        <v>-0.008</v>
      </c>
      <c r="F9" s="6" t="str">
        <f>'[7]1. OB Decomposition in LN total'!$C$22</f>
        <v>0.008</v>
      </c>
      <c r="G9" s="6" t="str">
        <f>'[8]1. OB Decomposition in LN total'!$C$22</f>
        <v>-0.132</v>
      </c>
      <c r="H9" s="1"/>
      <c r="I9" s="1"/>
    </row>
    <row r="10" spans="2:9" x14ac:dyDescent="0.3">
      <c r="B10" s="1"/>
      <c r="C10" s="2" t="s">
        <v>6</v>
      </c>
      <c r="D10" s="8"/>
      <c r="E10" s="8"/>
      <c r="F10" s="8"/>
      <c r="G10" s="8"/>
      <c r="H10" s="1"/>
      <c r="I10" s="1"/>
    </row>
    <row r="11" spans="2:9" x14ac:dyDescent="0.3">
      <c r="B11" s="1"/>
      <c r="C11" s="1" t="s">
        <v>7</v>
      </c>
      <c r="D11" s="4" t="str">
        <f>'[5]1. OB Decomposition in LN total'!$C$26</f>
        <v>0.000</v>
      </c>
      <c r="E11" s="4" t="str">
        <f>'[6]1. OB Decomposition in LN total'!$C$26</f>
        <v>-0.005**</v>
      </c>
      <c r="F11" s="4" t="str">
        <f>'[7]1. OB Decomposition in LN total'!$C$26</f>
        <v>0.018**</v>
      </c>
      <c r="G11" s="4" t="str">
        <f>'[8]1. OB Decomposition in LN total'!$C$26</f>
        <v>-0.017***</v>
      </c>
      <c r="H11" s="1"/>
      <c r="I11" s="1"/>
    </row>
    <row r="12" spans="2:9" x14ac:dyDescent="0.3">
      <c r="B12" s="1"/>
      <c r="C12" s="1" t="s">
        <v>9</v>
      </c>
      <c r="D12" s="4" t="str">
        <f>'[5]1. OB Decomposition in LN total'!$C$29</f>
        <v>0.008</v>
      </c>
      <c r="E12" s="4" t="str">
        <f>'[6]1. OB Decomposition in LN total'!$C$29</f>
        <v>0.018*</v>
      </c>
      <c r="F12" s="4" t="str">
        <f>'[7]1. OB Decomposition in LN total'!$C$29</f>
        <v>0.006</v>
      </c>
      <c r="G12" s="4" t="str">
        <f>'[8]1. OB Decomposition in LN total'!$C$29</f>
        <v>0.032***</v>
      </c>
      <c r="H12" s="1"/>
      <c r="I12" s="1"/>
    </row>
    <row r="13" spans="2:9" x14ac:dyDescent="0.3">
      <c r="B13" s="1"/>
      <c r="C13" s="1" t="s">
        <v>18</v>
      </c>
      <c r="D13" s="4" t="str">
        <f>'[5]1. OB Decomposition in LN total'!$C$32</f>
        <v>-0.006***</v>
      </c>
      <c r="E13" s="4" t="str">
        <f>'[6]1. OB Decomposition in LN total'!$C$32</f>
        <v>0.004*</v>
      </c>
      <c r="F13" s="4" t="str">
        <f>'[7]1. OB Decomposition in LN total'!$C$32</f>
        <v>0.009***</v>
      </c>
      <c r="G13" s="4" t="str">
        <f>'[8]1. OB Decomposition in LN total'!$C$32</f>
        <v>-0.004</v>
      </c>
      <c r="H13" s="1"/>
      <c r="I13" s="1"/>
    </row>
    <row r="14" spans="2:9" x14ac:dyDescent="0.3">
      <c r="B14" s="1"/>
      <c r="C14" s="3" t="s">
        <v>8</v>
      </c>
      <c r="D14" s="6" t="str">
        <f>'[5]1. OB Decomposition in LN total'!$C$35</f>
        <v>-0.015***</v>
      </c>
      <c r="E14" s="6" t="str">
        <f>'[6]1. OB Decomposition in LN total'!$C$35</f>
        <v>0.004</v>
      </c>
      <c r="F14" s="6" t="str">
        <f>'[7]1. OB Decomposition in LN total'!$C$35</f>
        <v>-0.103***</v>
      </c>
      <c r="G14" s="6" t="str">
        <f>'[8]1. OB Decomposition in LN total'!$C$35</f>
        <v>0.231*</v>
      </c>
      <c r="H14" s="1"/>
      <c r="I14" s="1"/>
    </row>
    <row r="15" spans="2:9" x14ac:dyDescent="0.3">
      <c r="B15" s="1"/>
      <c r="C15" s="2" t="s">
        <v>10</v>
      </c>
      <c r="D15" s="8"/>
      <c r="E15" s="8"/>
      <c r="F15" s="8"/>
      <c r="G15" s="8"/>
      <c r="H15" s="1"/>
      <c r="I15" s="1"/>
    </row>
    <row r="16" spans="2:9" x14ac:dyDescent="0.3">
      <c r="B16" s="1"/>
      <c r="C16" s="1" t="s">
        <v>7</v>
      </c>
      <c r="D16" s="4" t="str">
        <f>'[5]1. OB Decomposition in LN total'!$C$42</f>
        <v>-0.047</v>
      </c>
      <c r="E16" s="4" t="str">
        <f>'[6]1. OB Decomposition in LN total'!$C$39</f>
        <v>0.102</v>
      </c>
      <c r="F16" s="4" t="str">
        <f>'[7]1. OB Decomposition in LN total'!$C$42</f>
        <v>0.496***</v>
      </c>
      <c r="G16" s="4" t="str">
        <f>'[8]1. OB Decomposition in LN total'!$C$42</f>
        <v>-0.530</v>
      </c>
      <c r="H16" s="1"/>
      <c r="I16" s="1"/>
    </row>
    <row r="17" spans="2:9" x14ac:dyDescent="0.3">
      <c r="B17" s="1"/>
      <c r="C17" s="1" t="s">
        <v>9</v>
      </c>
      <c r="D17" s="4" t="str">
        <f>'[5]1. OB Decomposition in LN total'!$C$45</f>
        <v>0.032*</v>
      </c>
      <c r="E17" s="4" t="str">
        <f>'[6]1. OB Decomposition in LN total'!$C$42</f>
        <v>0.014</v>
      </c>
      <c r="F17" s="4" t="str">
        <f>'[7]1. OB Decomposition in LN total'!$C$45</f>
        <v>0.008</v>
      </c>
      <c r="G17" s="4" t="str">
        <f>'[8]1. OB Decomposition in LN total'!$C$45</f>
        <v>0.001</v>
      </c>
      <c r="H17" s="1"/>
      <c r="I17" s="1"/>
    </row>
    <row r="18" spans="2:9" x14ac:dyDescent="0.3">
      <c r="B18" s="1"/>
      <c r="C18" s="1" t="s">
        <v>18</v>
      </c>
      <c r="D18" s="4" t="str">
        <f>'[5]1. OB Decomposition in LN total'!$C$48</f>
        <v>-0.011</v>
      </c>
      <c r="E18" s="4" t="str">
        <f>'[6]1. OB Decomposition in LN total'!$C$45</f>
        <v>0.026</v>
      </c>
      <c r="F18" s="4" t="str">
        <f>'[7]1. OB Decomposition in LN total'!$C$48</f>
        <v>-0.056</v>
      </c>
      <c r="G18" s="4" t="str">
        <f>'[8]1. OB Decomposition in LN total'!$C$48</f>
        <v>0.004</v>
      </c>
      <c r="H18" s="1"/>
      <c r="I18" s="1"/>
    </row>
    <row r="19" spans="2:9" x14ac:dyDescent="0.3">
      <c r="B19" s="1"/>
      <c r="C19" s="3" t="s">
        <v>8</v>
      </c>
      <c r="D19" s="6" t="str">
        <f>'[5]1. OB Decomposition in LN total'!$C$54</f>
        <v>0.021</v>
      </c>
      <c r="E19" s="6" t="str">
        <f>'[6]1. OB Decomposition in LN total'!$C$48</f>
        <v>-0.349***</v>
      </c>
      <c r="F19" s="6" t="str">
        <f>'[7]1. OB Decomposition in LN total'!$C$54</f>
        <v>0.184**</v>
      </c>
      <c r="G19" s="6" t="str">
        <f>'[8]1. OB Decomposition in LN total'!$C$51</f>
        <v>-0.453***</v>
      </c>
      <c r="H19" s="1"/>
      <c r="I19" s="1"/>
    </row>
    <row r="20" spans="2:9" x14ac:dyDescent="0.3">
      <c r="B20" s="1"/>
      <c r="C20" s="3" t="s">
        <v>11</v>
      </c>
      <c r="D20" s="7" t="str">
        <f>'[5]1. OB Decomposition in LN total'!$C$76</f>
        <v>12569.000</v>
      </c>
      <c r="E20" s="7" t="str">
        <f>'[6]1. OB Decomposition in LN total'!$C$67</f>
        <v>5212.000</v>
      </c>
      <c r="F20" s="7" t="str">
        <f>'[7]1. OB Decomposition in LN total'!$C$76</f>
        <v>11310.000</v>
      </c>
      <c r="G20" s="7" t="str">
        <f>'[8]1. OB Decomposition in LN total'!$C$76</f>
        <v>13255.000</v>
      </c>
      <c r="H20" s="1"/>
      <c r="I20" s="1"/>
    </row>
    <row r="21" spans="2:9" x14ac:dyDescent="0.3">
      <c r="B21" s="1"/>
      <c r="C21" s="1"/>
      <c r="D21" s="1"/>
      <c r="E21" s="1"/>
      <c r="F21" s="1"/>
      <c r="G21" s="1"/>
      <c r="H21" s="1"/>
      <c r="I21" s="1"/>
    </row>
    <row r="22" spans="2:9" x14ac:dyDescent="0.3">
      <c r="B22" s="1"/>
      <c r="C22" s="1"/>
      <c r="D22" s="1"/>
      <c r="E22" s="1"/>
      <c r="F22" s="1"/>
      <c r="G22" s="1"/>
      <c r="H22" s="1"/>
      <c r="I22" s="1"/>
    </row>
  </sheetData>
  <mergeCells count="1">
    <mergeCell ref="D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F5E3-EC96-4754-B985-A755E4DD3297}">
  <dimension ref="B2:H22"/>
  <sheetViews>
    <sheetView workbookViewId="0">
      <selection activeCell="F5" sqref="F5"/>
    </sheetView>
  </sheetViews>
  <sheetFormatPr defaultRowHeight="14.4" x14ac:dyDescent="0.3"/>
  <cols>
    <col min="3" max="3" width="23.44140625" bestFit="1" customWidth="1"/>
    <col min="4" max="7" width="14.5546875" customWidth="1"/>
    <col min="8" max="8" width="15" customWidth="1"/>
  </cols>
  <sheetData>
    <row r="2" spans="2:8" x14ac:dyDescent="0.3">
      <c r="B2" s="1"/>
      <c r="C2" s="1"/>
      <c r="D2" s="1"/>
      <c r="E2" s="1"/>
      <c r="F2" s="1"/>
      <c r="G2" s="1"/>
      <c r="H2" s="1"/>
    </row>
    <row r="3" spans="2:8" ht="14.4" customHeight="1" x14ac:dyDescent="0.3">
      <c r="B3" s="1"/>
      <c r="C3" s="2"/>
      <c r="D3" s="10" t="s">
        <v>19</v>
      </c>
      <c r="E3" s="10"/>
      <c r="F3" s="10"/>
      <c r="G3" s="10"/>
      <c r="H3" s="1"/>
    </row>
    <row r="4" spans="2:8" x14ac:dyDescent="0.3">
      <c r="B4" s="1"/>
      <c r="C4" s="3"/>
      <c r="D4" s="5" t="s">
        <v>14</v>
      </c>
      <c r="E4" s="5" t="s">
        <v>15</v>
      </c>
      <c r="F4" s="5" t="s">
        <v>16</v>
      </c>
      <c r="G4" s="5" t="s">
        <v>17</v>
      </c>
      <c r="H4" s="1"/>
    </row>
    <row r="5" spans="2:8" x14ac:dyDescent="0.3">
      <c r="B5" s="1"/>
      <c r="C5" s="1" t="s">
        <v>1</v>
      </c>
      <c r="D5" s="4" t="str">
        <f>'[9]1. OB Decomposition in LN self '!$C$13</f>
        <v>0.011</v>
      </c>
      <c r="E5" s="4" t="str">
        <f>'[10]1. OB Decomposition in LN self '!$C$13</f>
        <v>0.449***</v>
      </c>
      <c r="F5" s="4" t="str">
        <f>'[11]1. OB Decomposition in LN self '!$C$13</f>
        <v>-0.158***</v>
      </c>
      <c r="G5" s="4" t="str">
        <f>'[12]1. OB Decomposition in LN self '!$C$13</f>
        <v>0.719***</v>
      </c>
      <c r="H5" s="1"/>
    </row>
    <row r="6" spans="2:8" x14ac:dyDescent="0.3">
      <c r="B6" s="1"/>
      <c r="C6" s="1" t="s">
        <v>2</v>
      </c>
      <c r="D6" s="4"/>
      <c r="E6" s="4"/>
      <c r="F6" s="4"/>
      <c r="G6" s="4"/>
      <c r="H6" s="1"/>
    </row>
    <row r="7" spans="2:8" x14ac:dyDescent="0.3">
      <c r="B7" s="1"/>
      <c r="C7" s="1" t="s">
        <v>3</v>
      </c>
      <c r="D7" s="4" t="str">
        <f>'[9]1. OB Decomposition in LN self '!$C$16</f>
        <v>0.014</v>
      </c>
      <c r="E7" s="4" t="str">
        <f>'[10]1. OB Decomposition in LN self '!$C$16</f>
        <v>-0.020</v>
      </c>
      <c r="F7" s="4" t="str">
        <f>'[11]1. OB Decomposition in LN self '!$C$16</f>
        <v>-0.065***</v>
      </c>
      <c r="G7" s="4" t="str">
        <f>'[12]1. OB Decomposition in LN self '!$C$16</f>
        <v>0.507***</v>
      </c>
      <c r="H7" s="1"/>
    </row>
    <row r="8" spans="2:8" x14ac:dyDescent="0.3">
      <c r="B8" s="1"/>
      <c r="C8" s="1" t="s">
        <v>4</v>
      </c>
      <c r="D8" s="4" t="str">
        <f>'[9]1. OB Decomposition in LN self '!$C$19</f>
        <v>-0.008</v>
      </c>
      <c r="E8" s="4" t="str">
        <f>'[10]1. OB Decomposition in LN self '!$C$19</f>
        <v>0.447***</v>
      </c>
      <c r="F8" s="4" t="str">
        <f>'[11]1. OB Decomposition in LN self '!$C$19</f>
        <v>-0.092**</v>
      </c>
      <c r="G8" s="4" t="str">
        <f>'[12]1. OB Decomposition in LN self '!$C$19</f>
        <v>0.531***</v>
      </c>
      <c r="H8" s="1"/>
    </row>
    <row r="9" spans="2:8" x14ac:dyDescent="0.3">
      <c r="B9" s="1"/>
      <c r="C9" s="3" t="s">
        <v>5</v>
      </c>
      <c r="D9" s="6" t="str">
        <f>'[9]1. OB Decomposition in LN self '!$C$22</f>
        <v>0.005</v>
      </c>
      <c r="E9" s="6" t="str">
        <f>'[10]1. OB Decomposition in LN self '!$C$22</f>
        <v>0.022</v>
      </c>
      <c r="F9" s="6" t="str">
        <f>'[11]1. OB Decomposition in LN self '!$C$22</f>
        <v>-0.001</v>
      </c>
      <c r="G9" s="6" t="str">
        <f>'[12]1. OB Decomposition in LN self '!$C$22</f>
        <v>-0.318***</v>
      </c>
      <c r="H9" s="1"/>
    </row>
    <row r="10" spans="2:8" x14ac:dyDescent="0.3">
      <c r="B10" s="1"/>
      <c r="C10" s="3" t="s">
        <v>6</v>
      </c>
      <c r="D10" s="6"/>
      <c r="E10" s="6"/>
      <c r="F10" s="6"/>
      <c r="G10" s="6"/>
      <c r="H10" s="1"/>
    </row>
    <row r="11" spans="2:8" x14ac:dyDescent="0.3">
      <c r="B11" s="1"/>
      <c r="C11" s="1" t="s">
        <v>7</v>
      </c>
      <c r="D11" s="4" t="str">
        <f>'[9]1. OB Decomposition in LN self '!$C$26</f>
        <v>0.001</v>
      </c>
      <c r="E11" s="4" t="str">
        <f>'[10]1. OB Decomposition in LN self '!$C$26</f>
        <v>-0.006</v>
      </c>
      <c r="F11" s="4" t="str">
        <f>'[11]1. OB Decomposition in LN self '!$C$26</f>
        <v>0.018**</v>
      </c>
      <c r="G11" s="4" t="str">
        <f>'[12]1. OB Decomposition in LN self '!$C$26</f>
        <v>0.005</v>
      </c>
      <c r="H11" s="1"/>
    </row>
    <row r="12" spans="2:8" x14ac:dyDescent="0.3">
      <c r="B12" s="1"/>
      <c r="C12" s="1" t="s">
        <v>9</v>
      </c>
      <c r="D12" s="4" t="str">
        <f>'[9]1. OB Decomposition in LN self '!$C$29</f>
        <v>0.009</v>
      </c>
      <c r="E12" s="4" t="str">
        <f>'[10]1. OB Decomposition in LN self '!$C$29</f>
        <v>-0.012</v>
      </c>
      <c r="F12" s="4" t="str">
        <f>'[11]1. OB Decomposition in LN self '!$C$29</f>
        <v>0.006</v>
      </c>
      <c r="G12" s="4" t="str">
        <f>'[12]1. OB Decomposition in LN self '!$C$29</f>
        <v>0.016*</v>
      </c>
      <c r="H12" s="1"/>
    </row>
    <row r="13" spans="2:8" x14ac:dyDescent="0.3">
      <c r="B13" s="1"/>
      <c r="C13" s="1" t="s">
        <v>18</v>
      </c>
      <c r="D13" s="4" t="str">
        <f>'[9]1. OB Decomposition in LN self '!$C$32</f>
        <v>-0.006***</v>
      </c>
      <c r="E13" s="4" t="str">
        <f>'[10]1. OB Decomposition in LN self '!$C$32</f>
        <v>0.003</v>
      </c>
      <c r="F13" s="4" t="str">
        <f>'[11]1. OB Decomposition in LN self '!$C$32</f>
        <v>0.009***</v>
      </c>
      <c r="G13" s="4" t="str">
        <f>'[12]1. OB Decomposition in LN self '!$C$32</f>
        <v>-0.018**</v>
      </c>
      <c r="H13" s="1"/>
    </row>
    <row r="14" spans="2:8" x14ac:dyDescent="0.3">
      <c r="B14" s="1"/>
      <c r="C14" s="1" t="s">
        <v>12</v>
      </c>
      <c r="D14" s="4" t="str">
        <f>'[9]1. OB Decomposition in LN self '!$C$35</f>
        <v>-0.015***</v>
      </c>
      <c r="E14" s="4" t="str">
        <f>'[10]1. OB Decomposition in LN self '!$C$35</f>
        <v>0.007</v>
      </c>
      <c r="F14" s="4" t="str">
        <f>'[11]1. OB Decomposition in LN self '!$C$35</f>
        <v>-0.102***</v>
      </c>
      <c r="G14" s="4" t="str">
        <f>'[12]1. OB Decomposition in LN self '!$C$35</f>
        <v>0.200***</v>
      </c>
      <c r="H14" s="1"/>
    </row>
    <row r="15" spans="2:8" x14ac:dyDescent="0.3">
      <c r="B15" s="1"/>
      <c r="C15" s="3" t="s">
        <v>8</v>
      </c>
      <c r="D15" s="6" t="str">
        <f>'[9]1. OB Decomposition in LN self '!$C$38</f>
        <v>0.025***</v>
      </c>
      <c r="E15" s="6" t="str">
        <f>'[10]1. OB Decomposition in LN self '!$C$38</f>
        <v>-0.012</v>
      </c>
      <c r="F15" s="6" t="str">
        <f>'[11]1. OB Decomposition in LN self '!$C$38</f>
        <v>0.003</v>
      </c>
      <c r="G15" s="6" t="str">
        <f>'[12]1. OB Decomposition in LN self '!$C$38</f>
        <v>0.304***</v>
      </c>
      <c r="H15" s="1"/>
    </row>
    <row r="16" spans="2:8" x14ac:dyDescent="0.3">
      <c r="B16" s="1"/>
      <c r="C16" s="3" t="s">
        <v>10</v>
      </c>
      <c r="D16" s="6"/>
      <c r="E16" s="6"/>
      <c r="F16" s="6"/>
      <c r="G16" s="6"/>
      <c r="H16" s="1"/>
    </row>
    <row r="17" spans="2:8" x14ac:dyDescent="0.3">
      <c r="B17" s="1"/>
      <c r="C17" s="1" t="s">
        <v>7</v>
      </c>
      <c r="D17" s="4" t="str">
        <f>'[9]1. OB Decomposition in LN self '!$C$42</f>
        <v>-0.065</v>
      </c>
      <c r="E17" s="4" t="str">
        <f>'[10]1. OB Decomposition in LN self '!$C$42</f>
        <v>0.407</v>
      </c>
      <c r="F17" s="4" t="str">
        <f>'[11]1. OB Decomposition in LN self '!$C$42</f>
        <v>0.456***</v>
      </c>
      <c r="G17" s="4" t="str">
        <f>'[12]1. OB Decomposition in LN self '!$C$45</f>
        <v>-1.135*</v>
      </c>
      <c r="H17" s="1"/>
    </row>
    <row r="18" spans="2:8" x14ac:dyDescent="0.3">
      <c r="B18" s="1"/>
      <c r="C18" s="1" t="s">
        <v>9</v>
      </c>
      <c r="D18" s="4" t="str">
        <f>'[9]1. OB Decomposition in LN self '!$C$45</f>
        <v>0.026*</v>
      </c>
      <c r="E18" s="4" t="str">
        <f>'[10]1. OB Decomposition in LN self '!$C$45</f>
        <v>-0.002</v>
      </c>
      <c r="F18" s="4" t="str">
        <f>'[11]1. OB Decomposition in LN self '!$C$45</f>
        <v>0.008</v>
      </c>
      <c r="G18" s="4" t="str">
        <f>'[12]1. OB Decomposition in LN self '!$C$48</f>
        <v>-0.014</v>
      </c>
      <c r="H18" s="1"/>
    </row>
    <row r="19" spans="2:8" x14ac:dyDescent="0.3">
      <c r="B19" s="1"/>
      <c r="C19" s="1" t="s">
        <v>18</v>
      </c>
      <c r="D19" s="4" t="str">
        <f>'[9]1. OB Decomposition in LN self '!$C$48</f>
        <v>-0.004</v>
      </c>
      <c r="E19" s="4" t="str">
        <f>'[10]1. OB Decomposition in LN self '!$C$48</f>
        <v>-0.048</v>
      </c>
      <c r="F19" s="4" t="str">
        <f>'[11]1. OB Decomposition in LN self '!$C$48</f>
        <v>-0.055</v>
      </c>
      <c r="G19" s="4" t="str">
        <f>'[12]1. OB Decomposition in LN self '!$C$51</f>
        <v>-0.006</v>
      </c>
      <c r="H19" s="1"/>
    </row>
    <row r="20" spans="2:8" x14ac:dyDescent="0.3">
      <c r="B20" s="1"/>
      <c r="C20" s="1" t="s">
        <v>12</v>
      </c>
      <c r="D20" s="4" t="str">
        <f>'[9]1. OB Decomposition in LN self '!$C$51</f>
        <v>-0.012</v>
      </c>
      <c r="E20" s="4" t="str">
        <f>'[10]1. OB Decomposition in LN self '!$C$51</f>
        <v>-0.081</v>
      </c>
      <c r="F20" s="4" t="str">
        <f>'[11]1. OB Decomposition in LN self '!$C$51</f>
        <v>0.149***</v>
      </c>
      <c r="G20" s="4" t="str">
        <f>'[12]1. OB Decomposition in LN self '!$C$54</f>
        <v>-0.012</v>
      </c>
      <c r="H20" s="1"/>
    </row>
    <row r="21" spans="2:8" x14ac:dyDescent="0.3">
      <c r="B21" s="1"/>
      <c r="C21" s="3" t="s">
        <v>8</v>
      </c>
      <c r="D21" s="6" t="str">
        <f>'[9]1. OB Decomposition in LN self '!$C$54</f>
        <v>0.364*</v>
      </c>
      <c r="E21" s="6" t="str">
        <f>'[10]1. OB Decomposition in LN self '!$C$54</f>
        <v>0.353***</v>
      </c>
      <c r="F21" s="6" t="str">
        <f>'[11]1. OB Decomposition in LN self '!$C$54</f>
        <v>-0.332***</v>
      </c>
      <c r="G21" s="6" t="str">
        <f>'[12]1. OB Decomposition in LN self '!$C$57</f>
        <v>-0.397***</v>
      </c>
      <c r="H21" s="1"/>
    </row>
    <row r="22" spans="2:8" x14ac:dyDescent="0.3">
      <c r="B22" s="1"/>
      <c r="C22" s="3" t="s">
        <v>11</v>
      </c>
      <c r="D22" s="7" t="str">
        <f>'[9]1. OB Decomposition in LN self '!$C$76</f>
        <v>12454.000</v>
      </c>
      <c r="E22" s="7" t="str">
        <f>'[10]1. OB Decomposition in LN self '!$C$76</f>
        <v>2575.000</v>
      </c>
      <c r="F22" s="7" t="str">
        <f>'[11]1. OB Decomposition in LN self '!$C$76</f>
        <v>11198.000</v>
      </c>
      <c r="G22" s="7" t="str">
        <f>'[12]1. OB Decomposition in LN self '!$C$85</f>
        <v>9382.000</v>
      </c>
      <c r="H22" s="1"/>
    </row>
  </sheetData>
  <mergeCells count="1">
    <mergeCell ref="D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26D5-E7D7-4689-A771-1A0274B77CC9}">
  <dimension ref="B2:H22"/>
  <sheetViews>
    <sheetView tabSelected="1" workbookViewId="0">
      <selection activeCell="G12" sqref="G12"/>
    </sheetView>
  </sheetViews>
  <sheetFormatPr defaultRowHeight="14.4" x14ac:dyDescent="0.3"/>
  <cols>
    <col min="3" max="3" width="23" customWidth="1"/>
    <col min="4" max="7" width="13.21875" customWidth="1"/>
  </cols>
  <sheetData>
    <row r="2" spans="2:8" ht="14.4" customHeight="1" x14ac:dyDescent="0.3">
      <c r="B2" s="1"/>
      <c r="C2" s="1"/>
      <c r="D2" s="1"/>
      <c r="E2" s="1"/>
      <c r="F2" s="1"/>
      <c r="G2" s="1"/>
      <c r="H2" s="1"/>
    </row>
    <row r="3" spans="2:8" x14ac:dyDescent="0.3">
      <c r="B3" s="1"/>
      <c r="C3" s="2"/>
      <c r="D3" s="10" t="s">
        <v>20</v>
      </c>
      <c r="E3" s="10"/>
      <c r="F3" s="10"/>
      <c r="G3" s="10"/>
      <c r="H3" s="1"/>
    </row>
    <row r="4" spans="2:8" x14ac:dyDescent="0.3">
      <c r="B4" s="1"/>
      <c r="C4" s="3"/>
      <c r="D4" s="5" t="s">
        <v>14</v>
      </c>
      <c r="E4" s="5" t="s">
        <v>15</v>
      </c>
      <c r="F4" s="5" t="s">
        <v>16</v>
      </c>
      <c r="G4" s="5" t="s">
        <v>17</v>
      </c>
      <c r="H4" s="1"/>
    </row>
    <row r="5" spans="2:8" x14ac:dyDescent="0.3">
      <c r="B5" s="1"/>
      <c r="C5" s="1" t="s">
        <v>1</v>
      </c>
      <c r="D5" s="4" t="str">
        <f>'[13]1. OB Decomposition in LN salar'!$C$13</f>
        <v>-0.001</v>
      </c>
      <c r="E5" s="4" t="str">
        <f>'[14]1. OB Decomposition in LN salar'!$C$13</f>
        <v>0.017</v>
      </c>
      <c r="F5" s="4" t="str">
        <f>'[15]1. OB Decomposition in LN salar'!$C$13</f>
        <v>0.185***</v>
      </c>
      <c r="G5" s="4" t="str">
        <f>'[16]1. OB Decomposition in LN salar'!$C$13</f>
        <v>-0.120</v>
      </c>
      <c r="H5" s="1"/>
    </row>
    <row r="6" spans="2:8" x14ac:dyDescent="0.3">
      <c r="B6" s="1"/>
      <c r="C6" s="1" t="s">
        <v>2</v>
      </c>
      <c r="D6" s="4"/>
      <c r="E6" s="4"/>
      <c r="F6" s="4"/>
      <c r="G6" s="4"/>
      <c r="H6" s="1"/>
    </row>
    <row r="7" spans="2:8" x14ac:dyDescent="0.3">
      <c r="B7" s="1"/>
      <c r="C7" s="1" t="s">
        <v>3</v>
      </c>
      <c r="D7" s="4" t="str">
        <f>'[13]1. OB Decomposition in LN salar'!$C$16</f>
        <v>-0.050***</v>
      </c>
      <c r="E7" s="4" t="str">
        <f>'[14]1. OB Decomposition in LN salar'!$C$16</f>
        <v>-0.032</v>
      </c>
      <c r="F7" s="4" t="str">
        <f>'[15]1. OB Decomposition in LN salar'!$C$16</f>
        <v>-0.052***</v>
      </c>
      <c r="G7" s="4" t="str">
        <f>'[16]1. OB Decomposition in LN salar'!$C$16</f>
        <v>-0.107</v>
      </c>
      <c r="H7" s="1"/>
    </row>
    <row r="8" spans="2:8" x14ac:dyDescent="0.3">
      <c r="B8" s="1"/>
      <c r="C8" s="1" t="s">
        <v>4</v>
      </c>
      <c r="D8" s="4" t="str">
        <f>'[13]1. OB Decomposition in LN salar'!$C$19</f>
        <v>0.040</v>
      </c>
      <c r="E8" s="4" t="str">
        <f>'[14]1. OB Decomposition in LN salar'!$C$19</f>
        <v>0.083</v>
      </c>
      <c r="F8" s="4" t="str">
        <f>'[15]1. OB Decomposition in LN salar'!$C$19</f>
        <v>0.215***</v>
      </c>
      <c r="G8" s="4" t="str">
        <f>'[16]1. OB Decomposition in LN salar'!$C$19</f>
        <v>-0.020</v>
      </c>
      <c r="H8" s="1"/>
    </row>
    <row r="9" spans="2:8" x14ac:dyDescent="0.3">
      <c r="B9" s="1"/>
      <c r="C9" s="3" t="s">
        <v>5</v>
      </c>
      <c r="D9" s="6" t="str">
        <f>'[13]1. OB Decomposition in LN salar'!$C$22</f>
        <v>0.009</v>
      </c>
      <c r="E9" s="6" t="str">
        <f>'[14]1. OB Decomposition in LN salar'!$C$22</f>
        <v>-0.034</v>
      </c>
      <c r="F9" s="6" t="str">
        <f>'[15]1. OB Decomposition in LN salar'!$C$22</f>
        <v>0.021</v>
      </c>
      <c r="G9" s="6" t="str">
        <f>'[16]1. OB Decomposition in LN salar'!$C$22</f>
        <v>0.008</v>
      </c>
      <c r="H9" s="1"/>
    </row>
    <row r="10" spans="2:8" x14ac:dyDescent="0.3">
      <c r="B10" s="1"/>
      <c r="C10" s="3" t="s">
        <v>6</v>
      </c>
      <c r="D10" s="6"/>
      <c r="E10" s="6"/>
      <c r="F10" s="6"/>
      <c r="G10" s="6"/>
      <c r="H10" s="1"/>
    </row>
    <row r="11" spans="2:8" x14ac:dyDescent="0.3">
      <c r="B11" s="1"/>
      <c r="C11" s="1" t="s">
        <v>7</v>
      </c>
      <c r="D11" s="4" t="str">
        <f>'[13]1. OB Decomposition in LN salar'!$C$26</f>
        <v>-0.001</v>
      </c>
      <c r="E11" s="4" t="str">
        <f>'[14]1. OB Decomposition in LN salar'!$C$26</f>
        <v>0.064*</v>
      </c>
      <c r="F11" s="4" t="str">
        <f>'[15]1. OB Decomposition in LN salar'!$C$26</f>
        <v>0.029***</v>
      </c>
      <c r="G11" s="4" t="str">
        <f>'[16]1. OB Decomposition in LN salar'!$C$26</f>
        <v>-0.074**</v>
      </c>
      <c r="H11" s="1"/>
    </row>
    <row r="12" spans="2:8" x14ac:dyDescent="0.3">
      <c r="B12" s="1"/>
      <c r="C12" s="1" t="s">
        <v>9</v>
      </c>
      <c r="D12" s="4" t="str">
        <f>'[13]1. OB Decomposition in LN salar'!$C$29</f>
        <v>0.000</v>
      </c>
      <c r="E12" s="4" t="str">
        <f>'[14]1. OB Decomposition in LN salar'!$C$29</f>
        <v>0.006</v>
      </c>
      <c r="F12" s="4" t="str">
        <f>'[15]1. OB Decomposition in LN salar'!$C$29</f>
        <v>-0.022***</v>
      </c>
      <c r="G12" s="4" t="str">
        <f>'[16]1. OB Decomposition in LN salar'!$C$29</f>
        <v>-0.106***</v>
      </c>
      <c r="H12" s="1"/>
    </row>
    <row r="13" spans="2:8" x14ac:dyDescent="0.3">
      <c r="B13" s="1"/>
      <c r="C13" s="1" t="s">
        <v>18</v>
      </c>
      <c r="D13" s="4" t="str">
        <f>'[13]1. OB Decomposition in LN salar'!$C$32</f>
        <v>-0.003</v>
      </c>
      <c r="E13" s="4" t="str">
        <f>'[14]1. OB Decomposition in LN salar'!$C$32</f>
        <v>0.008</v>
      </c>
      <c r="F13" s="4" t="str">
        <f>'[15]1. OB Decomposition in LN salar'!$C$32</f>
        <v>-0.001</v>
      </c>
      <c r="G13" s="4" t="str">
        <f>'[16]1. OB Decomposition in LN salar'!$C$32</f>
        <v>-0.011**</v>
      </c>
      <c r="H13" s="1"/>
    </row>
    <row r="14" spans="2:8" x14ac:dyDescent="0.3">
      <c r="B14" s="1"/>
      <c r="C14" s="1" t="s">
        <v>12</v>
      </c>
      <c r="D14" s="4" t="str">
        <f>'[13]1. OB Decomposition in LN salar'!$C$35</f>
        <v>-0.041***</v>
      </c>
      <c r="E14" s="4" t="str">
        <f>'[14]1. OB Decomposition in LN salar'!$C$35</f>
        <v>0.003</v>
      </c>
      <c r="F14" s="4" t="str">
        <f>'[15]1. OB Decomposition in LN salar'!$C$35</f>
        <v>-0.031***</v>
      </c>
      <c r="G14" s="4" t="str">
        <f>'[16]1. OB Decomposition in LN salar'!$C$35</f>
        <v>0.093*</v>
      </c>
      <c r="H14" s="1"/>
    </row>
    <row r="15" spans="2:8" x14ac:dyDescent="0.3">
      <c r="B15" s="1"/>
      <c r="C15" s="3" t="s">
        <v>8</v>
      </c>
      <c r="D15" s="6" t="str">
        <f>'[13]1. OB Decomposition in LN salar'!$C$38</f>
        <v>-0.005</v>
      </c>
      <c r="E15" s="6" t="str">
        <f>'[14]1. OB Decomposition in LN salar'!$C$38</f>
        <v>-0.114**</v>
      </c>
      <c r="F15" s="6" t="str">
        <f>'[15]1. OB Decomposition in LN salar'!$C$38</f>
        <v>-0.027***</v>
      </c>
      <c r="G15" s="6" t="str">
        <f>'[16]1. OB Decomposition in LN salar'!$C$38</f>
        <v>-0.009</v>
      </c>
      <c r="H15" s="1"/>
    </row>
    <row r="16" spans="2:8" x14ac:dyDescent="0.3">
      <c r="B16" s="1"/>
      <c r="C16" s="3" t="s">
        <v>10</v>
      </c>
      <c r="D16" s="6"/>
      <c r="E16" s="6"/>
      <c r="F16" s="6"/>
      <c r="G16" s="6"/>
      <c r="H16" s="1"/>
    </row>
    <row r="17" spans="2:8" x14ac:dyDescent="0.3">
      <c r="B17" s="1"/>
      <c r="C17" s="1" t="s">
        <v>7</v>
      </c>
      <c r="D17" s="4" t="str">
        <f>'[13]1. OB Decomposition in LN salar'!$C$42</f>
        <v>-0.147</v>
      </c>
      <c r="E17" s="4" t="str">
        <f>'[14]1. OB Decomposition in LN salar'!$C$42</f>
        <v>-0.135</v>
      </c>
      <c r="F17" s="4" t="str">
        <f>'[15]1. OB Decomposition in LN salar'!$C$42</f>
        <v>0.160</v>
      </c>
      <c r="G17" s="4" t="str">
        <f>'[16]1. OB Decomposition in LN salar'!$C$45</f>
        <v>-0.252</v>
      </c>
      <c r="H17" s="1"/>
    </row>
    <row r="18" spans="2:8" x14ac:dyDescent="0.3">
      <c r="B18" s="1"/>
      <c r="C18" s="1" t="s">
        <v>9</v>
      </c>
      <c r="D18" s="4" t="str">
        <f>'[13]1. OB Decomposition in LN salar'!$C$45</f>
        <v>-0.110*</v>
      </c>
      <c r="E18" s="4" t="str">
        <f>'[14]1. OB Decomposition in LN salar'!$C$45</f>
        <v>0.032</v>
      </c>
      <c r="F18" s="4" t="str">
        <f>'[15]1. OB Decomposition in LN salar'!$C$45</f>
        <v>-0.057</v>
      </c>
      <c r="G18" s="4" t="str">
        <f>'[16]1. OB Decomposition in LN salar'!$C$48</f>
        <v>-0.234</v>
      </c>
      <c r="H18" s="1"/>
    </row>
    <row r="19" spans="2:8" x14ac:dyDescent="0.3">
      <c r="B19" s="1"/>
      <c r="C19" s="1" t="s">
        <v>18</v>
      </c>
      <c r="D19" s="4" t="str">
        <f>'[13]1. OB Decomposition in LN salar'!$C$48</f>
        <v>0.018</v>
      </c>
      <c r="E19" s="4" t="str">
        <f>'[14]1. OB Decomposition in LN salar'!$C$48</f>
        <v>0.052</v>
      </c>
      <c r="F19" s="4" t="str">
        <f>'[15]1. OB Decomposition in LN salar'!$C$48</f>
        <v>0.021</v>
      </c>
      <c r="G19" s="4" t="str">
        <f>'[16]1. OB Decomposition in LN salar'!$C$51</f>
        <v>0.216*</v>
      </c>
      <c r="H19" s="1"/>
    </row>
    <row r="20" spans="2:8" x14ac:dyDescent="0.3">
      <c r="B20" s="1"/>
      <c r="C20" s="1" t="s">
        <v>12</v>
      </c>
      <c r="D20" s="4" t="str">
        <f>'[13]1. OB Decomposition in LN salar'!$C$51</f>
        <v>0.182**</v>
      </c>
      <c r="E20" s="4" t="str">
        <f>'[14]1. OB Decomposition in LN salar'!$C$51</f>
        <v>-0.063</v>
      </c>
      <c r="F20" s="4" t="str">
        <f>'[15]1. OB Decomposition in LN salar'!$C$51</f>
        <v>-0.008</v>
      </c>
      <c r="G20" s="4" t="str">
        <f>'[16]1. OB Decomposition in LN salar'!$C$54</f>
        <v>-0.340</v>
      </c>
      <c r="H20" s="1"/>
    </row>
    <row r="21" spans="2:8" x14ac:dyDescent="0.3">
      <c r="B21" s="1"/>
      <c r="C21" s="3" t="s">
        <v>8</v>
      </c>
      <c r="D21" s="6" t="str">
        <f>'[13]1. OB Decomposition in LN salar'!$C$54</f>
        <v>-0.014</v>
      </c>
      <c r="E21" s="6" t="str">
        <f>'[14]1. OB Decomposition in LN salar'!$C$54</f>
        <v>-0.214</v>
      </c>
      <c r="F21" s="6" t="str">
        <f>'[15]1. OB Decomposition in LN salar'!$C$54</f>
        <v>-0.086</v>
      </c>
      <c r="G21" s="6" t="str">
        <f>'[16]1. OB Decomposition in LN salar'!$C$57</f>
        <v>-0.195</v>
      </c>
      <c r="H21" s="1"/>
    </row>
    <row r="22" spans="2:8" x14ac:dyDescent="0.3">
      <c r="B22" s="1"/>
      <c r="C22" s="3" t="s">
        <v>11</v>
      </c>
      <c r="D22" s="7" t="str">
        <f>'[13]1. OB Decomposition in LN salar'!$C$76</f>
        <v>1941.000</v>
      </c>
      <c r="E22" s="7" t="str">
        <f>'[14]1. OB Decomposition in LN salar'!$C$76</f>
        <v>2662.000</v>
      </c>
      <c r="F22" s="7" t="str">
        <f>'[15]1. OB Decomposition in LN salar'!$C$76</f>
        <v>3765.000</v>
      </c>
      <c r="G22" s="7" t="str">
        <f>'[16]1. OB Decomposition in LN salar'!$C$85</f>
        <v>3834.000</v>
      </c>
      <c r="H22" s="1"/>
    </row>
  </sheetData>
  <mergeCells count="1"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income</vt:lpstr>
      <vt:lpstr>Per hour</vt:lpstr>
      <vt:lpstr>Selfemp</vt:lpstr>
      <vt:lpstr>Salaried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A. Rivera</dc:creator>
  <cp:lastModifiedBy>Sergio A. Rivera</cp:lastModifiedBy>
  <dcterms:created xsi:type="dcterms:W3CDTF">2024-07-08T14:48:17Z</dcterms:created>
  <dcterms:modified xsi:type="dcterms:W3CDTF">2025-03-22T20:22:02Z</dcterms:modified>
</cp:coreProperties>
</file>